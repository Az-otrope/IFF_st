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u/IFF_st/Data files/"/>
    </mc:Choice>
  </mc:AlternateContent>
  <xr:revisionPtr revIDLastSave="0" documentId="13_ncr:1_{7662DCD2-B378-DE42-A317-64BAA2FE94DE}" xr6:coauthVersionLast="47" xr6:coauthVersionMax="47" xr10:uidLastSave="{00000000-0000-0000-0000-000000000000}"/>
  <bookViews>
    <workbookView xWindow="0" yWindow="500" windowWidth="38400" windowHeight="19980" activeTab="4" xr2:uid="{864112C4-F34E-4D7E-B93D-41900B89255C}"/>
  </bookViews>
  <sheets>
    <sheet name="DataEntry" sheetId="5" r:id="rId1"/>
    <sheet name="Sheet1" sheetId="10" r:id="rId2"/>
    <sheet name="WP4 FD Sample info" sheetId="8" r:id="rId3"/>
    <sheet name="WP4 In-pack Data" sheetId="7" r:id="rId4"/>
    <sheet name="WP4 On-Seed" sheetId="11" r:id="rId5"/>
    <sheet name="RawCounts" sheetId="3" r:id="rId6"/>
    <sheet name="Hidden" sheetId="4" state="hidden" r:id="rId7"/>
  </sheets>
  <definedNames>
    <definedName name="_xlnm._FilterDatabase" localSheetId="2" hidden="1">'WP4 FD Sample info'!$A$1:$AF$67</definedName>
    <definedName name="_xlnm._FilterDatabase" localSheetId="3" hidden="1">'WP4 In-pack Data'!$A$1:$AD$143</definedName>
    <definedName name="_xlnm._FilterDatabase" localSheetId="4" hidden="1">'WP4 On-Seed'!$B$1:$AR$59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92" i="8" l="1"/>
  <c r="AC92" i="8" s="1"/>
  <c r="AB93" i="8"/>
  <c r="AC93" i="8" s="1"/>
  <c r="AB94" i="8"/>
  <c r="AC94" i="8" s="1"/>
  <c r="AB95" i="8"/>
  <c r="AC95" i="8" s="1"/>
  <c r="AB96" i="8"/>
  <c r="AC96" i="8" s="1"/>
  <c r="AB97" i="8"/>
  <c r="AC97" i="8" s="1"/>
  <c r="AB98" i="8"/>
  <c r="AC98" i="8" s="1"/>
  <c r="AB87" i="8"/>
  <c r="AC87" i="8" s="1"/>
  <c r="AB88" i="8"/>
  <c r="AC88" i="8"/>
  <c r="AB89" i="8"/>
  <c r="AC89" i="8" s="1"/>
  <c r="AB90" i="8"/>
  <c r="AC90" i="8"/>
  <c r="AB91" i="8"/>
  <c r="AC91" i="8"/>
  <c r="Q81" i="11" l="1"/>
  <c r="Q82" i="11"/>
  <c r="Q83" i="11"/>
  <c r="Q84" i="11"/>
  <c r="Q85" i="11"/>
  <c r="Q86" i="11"/>
  <c r="Q1" i="11" l="1"/>
  <c r="BZ76" i="11" l="1"/>
  <c r="BZ77" i="11"/>
  <c r="BZ78" i="11"/>
  <c r="BZ79" i="11"/>
  <c r="BZ80" i="11"/>
  <c r="BZ81" i="11"/>
  <c r="BZ82" i="11"/>
  <c r="BZ83" i="11"/>
  <c r="BZ84" i="11"/>
  <c r="BZ85" i="11"/>
  <c r="BZ86" i="11"/>
  <c r="BY70" i="11"/>
  <c r="BY71" i="11"/>
  <c r="BY72" i="11"/>
  <c r="BY73" i="11"/>
  <c r="BY74" i="11"/>
  <c r="BY75" i="11"/>
  <c r="BY76" i="11"/>
  <c r="BY77" i="11"/>
  <c r="BY78" i="11"/>
  <c r="BY79" i="11"/>
  <c r="BY80" i="11"/>
  <c r="BY81" i="11"/>
  <c r="BY82" i="11"/>
  <c r="BY83" i="11"/>
  <c r="BY84" i="11"/>
  <c r="BY85" i="11"/>
  <c r="CK70" i="11"/>
  <c r="CK71" i="11"/>
  <c r="CK72" i="11"/>
  <c r="CK73" i="11"/>
  <c r="CK74" i="11"/>
  <c r="CK75" i="11"/>
  <c r="CK76" i="11"/>
  <c r="CK77" i="11"/>
  <c r="CK78" i="11"/>
  <c r="CK79" i="11"/>
  <c r="CK80" i="11"/>
  <c r="CK81" i="11"/>
  <c r="CK82" i="11"/>
  <c r="CK83" i="11"/>
  <c r="CK84" i="11"/>
  <c r="CK85" i="11"/>
  <c r="CK86" i="11"/>
  <c r="CJ76" i="11"/>
  <c r="CJ77" i="11"/>
  <c r="CJ78" i="11"/>
  <c r="CJ79" i="11"/>
  <c r="CJ80" i="11"/>
  <c r="CJ81" i="11"/>
  <c r="CJ82" i="11"/>
  <c r="CJ83" i="11"/>
  <c r="CJ84" i="11"/>
  <c r="CI70" i="11"/>
  <c r="CI71" i="11"/>
  <c r="CI72" i="11"/>
  <c r="CI73" i="11"/>
  <c r="CI74" i="11"/>
  <c r="CI75" i="11"/>
  <c r="CI76" i="11"/>
  <c r="CI77" i="11"/>
  <c r="CI78" i="11"/>
  <c r="CI79" i="11"/>
  <c r="CI80" i="11"/>
  <c r="CI81" i="11"/>
  <c r="CI82" i="11"/>
  <c r="CI83" i="11"/>
  <c r="CI84" i="11"/>
  <c r="CI85" i="11"/>
  <c r="CI86" i="11"/>
  <c r="CH76" i="11"/>
  <c r="CH77" i="11"/>
  <c r="CH78" i="11"/>
  <c r="CH79" i="11"/>
  <c r="N79" i="11" s="1" a="1"/>
  <c r="N79" i="11" s="1"/>
  <c r="CH80" i="11"/>
  <c r="CH81" i="11"/>
  <c r="CH82" i="11"/>
  <c r="CH83" i="11"/>
  <c r="CH84" i="11"/>
  <c r="CH85" i="11"/>
  <c r="CH86" i="11"/>
  <c r="BX76" i="11"/>
  <c r="BX77" i="11"/>
  <c r="BX78" i="11"/>
  <c r="BX79" i="11"/>
  <c r="BX80" i="11"/>
  <c r="BX81" i="11"/>
  <c r="BX82" i="11"/>
  <c r="BX83" i="11"/>
  <c r="BX84" i="11"/>
  <c r="BX85" i="11"/>
  <c r="BG70" i="11"/>
  <c r="BG71" i="11"/>
  <c r="BG72" i="11"/>
  <c r="BG73" i="11"/>
  <c r="BG74" i="11"/>
  <c r="BG75" i="11"/>
  <c r="BG76" i="11"/>
  <c r="BG77" i="11"/>
  <c r="BG78" i="11"/>
  <c r="BG79" i="11"/>
  <c r="BG80" i="11"/>
  <c r="BG81" i="11"/>
  <c r="BG82" i="11"/>
  <c r="BG83" i="11"/>
  <c r="BG84" i="11"/>
  <c r="BF70" i="11"/>
  <c r="BF71" i="11"/>
  <c r="BF72" i="11"/>
  <c r="BF73" i="11"/>
  <c r="BF74" i="11"/>
  <c r="BF75" i="11"/>
  <c r="BF76" i="11"/>
  <c r="BF77" i="11"/>
  <c r="BF78" i="11"/>
  <c r="BF79" i="11"/>
  <c r="BF80" i="11"/>
  <c r="BF81" i="11"/>
  <c r="BF82" i="11"/>
  <c r="BF83" i="11"/>
  <c r="BF84" i="11"/>
  <c r="BF85" i="11"/>
  <c r="BF86" i="11"/>
  <c r="BF87" i="11"/>
  <c r="BF88" i="11"/>
  <c r="BF89" i="11"/>
  <c r="BE70" i="11"/>
  <c r="BE71" i="11"/>
  <c r="BE72" i="11"/>
  <c r="BE73" i="11"/>
  <c r="BE74" i="11"/>
  <c r="BE75" i="11"/>
  <c r="BE76" i="11"/>
  <c r="BE77" i="11"/>
  <c r="BE78" i="11"/>
  <c r="BE79" i="11"/>
  <c r="BE80" i="11"/>
  <c r="BE81" i="11"/>
  <c r="BE82" i="11"/>
  <c r="BE83" i="11"/>
  <c r="BE84" i="11"/>
  <c r="BE85" i="11"/>
  <c r="BE86" i="11"/>
  <c r="BE87" i="11"/>
  <c r="BE88" i="11"/>
  <c r="BE89" i="11"/>
  <c r="BD76" i="11"/>
  <c r="BD77" i="11"/>
  <c r="BD78" i="11"/>
  <c r="BD79" i="11"/>
  <c r="BD80" i="11"/>
  <c r="BD81" i="11"/>
  <c r="BD82" i="11"/>
  <c r="BD83" i="11"/>
  <c r="BD84" i="11"/>
  <c r="BD85" i="11"/>
  <c r="BD86" i="11"/>
  <c r="BD87" i="11"/>
  <c r="BD88" i="11"/>
  <c r="BD89" i="11"/>
  <c r="BD90" i="11"/>
  <c r="BD91" i="11"/>
  <c r="BC79" i="11"/>
  <c r="BC80" i="11"/>
  <c r="BC81" i="11"/>
  <c r="BC82" i="11"/>
  <c r="BC83" i="11"/>
  <c r="BC84" i="11"/>
  <c r="BC85" i="11"/>
  <c r="BC86" i="11"/>
  <c r="BC87" i="11"/>
  <c r="BZ87" i="11" s="1"/>
  <c r="M86" i="11" s="1" a="1"/>
  <c r="M86" i="11" s="1"/>
  <c r="BC88" i="11"/>
  <c r="BC89" i="11"/>
  <c r="BC90" i="11"/>
  <c r="BC91" i="11"/>
  <c r="AV75" i="11"/>
  <c r="AV76" i="11"/>
  <c r="AV77" i="11"/>
  <c r="AV78" i="11"/>
  <c r="AV79" i="11"/>
  <c r="AV80" i="11"/>
  <c r="AV81" i="11"/>
  <c r="AV82" i="11"/>
  <c r="AV83" i="11"/>
  <c r="AV84" i="11"/>
  <c r="AV85" i="11"/>
  <c r="AV86" i="11"/>
  <c r="AV88" i="11"/>
  <c r="AV89" i="11"/>
  <c r="AV90" i="11"/>
  <c r="AV91" i="11"/>
  <c r="AV92" i="11"/>
  <c r="AV93" i="11"/>
  <c r="AV94" i="11"/>
  <c r="AV95" i="11"/>
  <c r="AV96" i="11"/>
  <c r="AV97" i="11"/>
  <c r="AU69" i="11"/>
  <c r="AU70" i="11"/>
  <c r="AU71" i="11"/>
  <c r="AU72" i="11"/>
  <c r="AU73" i="11"/>
  <c r="AU74" i="11"/>
  <c r="AU75" i="11"/>
  <c r="AU76" i="11"/>
  <c r="AU77" i="11"/>
  <c r="AU78" i="11"/>
  <c r="AU79" i="11"/>
  <c r="AU80" i="11"/>
  <c r="AU81" i="11"/>
  <c r="AU82" i="11"/>
  <c r="AU83" i="11"/>
  <c r="AU84" i="11"/>
  <c r="AU85" i="11"/>
  <c r="AU86" i="11"/>
  <c r="AU88" i="11"/>
  <c r="AU89" i="11"/>
  <c r="AU90" i="11"/>
  <c r="AT75" i="11"/>
  <c r="AT76" i="11"/>
  <c r="AT77" i="11"/>
  <c r="AT78" i="11"/>
  <c r="AT79" i="11"/>
  <c r="AT80" i="11"/>
  <c r="AT81" i="11"/>
  <c r="AT82" i="11"/>
  <c r="AT83" i="11"/>
  <c r="AT84" i="11"/>
  <c r="AT85" i="11"/>
  <c r="AT86" i="11"/>
  <c r="AT88" i="11"/>
  <c r="AT89" i="11"/>
  <c r="AT90" i="11"/>
  <c r="AT91" i="11"/>
  <c r="AS75" i="11"/>
  <c r="AS76" i="11"/>
  <c r="AS77" i="11"/>
  <c r="AS78" i="11"/>
  <c r="AS79" i="11"/>
  <c r="AS80" i="11"/>
  <c r="AS81" i="11"/>
  <c r="AS82" i="11"/>
  <c r="AS83" i="11"/>
  <c r="AS84" i="11"/>
  <c r="AS85" i="11"/>
  <c r="AS86" i="11"/>
  <c r="AS88" i="11"/>
  <c r="CH87" i="11" l="1"/>
  <c r="CI87" i="11"/>
  <c r="M85" i="11" a="1"/>
  <c r="M85" i="11" s="1"/>
  <c r="N84" i="11" a="1"/>
  <c r="N84" i="11" s="1"/>
  <c r="M84" i="11" a="1"/>
  <c r="M84" i="11" s="1"/>
  <c r="N81" i="11" a="1"/>
  <c r="N81" i="11" s="1"/>
  <c r="N86" i="11" a="1"/>
  <c r="N86" i="11" s="1"/>
  <c r="M81" i="11" a="1"/>
  <c r="M81" i="11" s="1"/>
  <c r="N78" i="11" a="1"/>
  <c r="N78" i="11" s="1"/>
  <c r="N85" i="11" a="1"/>
  <c r="N85" i="11" s="1"/>
  <c r="N83" i="11" a="1"/>
  <c r="N83" i="11" s="1"/>
  <c r="M83" i="11" a="1"/>
  <c r="M83" i="11" s="1"/>
  <c r="N82" i="11" a="1"/>
  <c r="N82" i="11" s="1"/>
  <c r="M82" i="11" a="1"/>
  <c r="M82" i="11" s="1"/>
  <c r="BS85" i="11"/>
  <c r="BP81" i="11"/>
  <c r="M80" i="11" a="1"/>
  <c r="M80" i="11" s="1"/>
  <c r="N77" i="11" a="1"/>
  <c r="N77" i="11" s="1"/>
  <c r="BP80" i="11"/>
  <c r="BP83" i="11"/>
  <c r="BP79" i="11"/>
  <c r="BP82" i="11"/>
  <c r="BP85" i="11"/>
  <c r="BP84" i="11"/>
  <c r="BS83" i="11"/>
  <c r="BS82" i="11"/>
  <c r="BO84" i="11"/>
  <c r="BO82" i="11"/>
  <c r="BO79" i="11"/>
  <c r="BN85" i="11"/>
  <c r="BN84" i="11"/>
  <c r="BN83" i="11"/>
  <c r="BN82" i="11"/>
  <c r="BN81" i="11"/>
  <c r="BN80" i="11"/>
  <c r="BN79" i="11"/>
  <c r="N80" i="11" a="1"/>
  <c r="N80" i="11" s="1"/>
  <c r="BO83" i="11"/>
  <c r="BO80" i="11"/>
  <c r="BU84" i="11"/>
  <c r="BU83" i="11"/>
  <c r="BU81" i="11"/>
  <c r="BU80" i="11"/>
  <c r="BU85" i="11"/>
  <c r="BU82" i="11"/>
  <c r="BT85" i="11"/>
  <c r="BT84" i="11"/>
  <c r="BT83" i="11"/>
  <c r="BT82" i="11"/>
  <c r="BT81" i="11"/>
  <c r="BT80" i="11"/>
  <c r="BO85" i="11"/>
  <c r="BO81" i="11"/>
  <c r="BS84" i="11"/>
  <c r="BS81" i="11"/>
  <c r="BS80" i="11"/>
  <c r="BR85" i="11"/>
  <c r="BR84" i="11"/>
  <c r="BR83" i="11"/>
  <c r="BR82" i="11"/>
  <c r="BR81" i="11"/>
  <c r="BR80" i="11"/>
  <c r="BQ85" i="11"/>
  <c r="BQ84" i="11"/>
  <c r="BQ83" i="11"/>
  <c r="BQ82" i="11"/>
  <c r="BQ81" i="11"/>
  <c r="BQ80" i="11"/>
  <c r="BQ79" i="11"/>
  <c r="N76" i="11" a="1"/>
  <c r="N76" i="11" s="1"/>
  <c r="M78" i="11" a="1"/>
  <c r="M78" i="11" s="1"/>
  <c r="M77" i="11" a="1"/>
  <c r="M77" i="11" s="1"/>
  <c r="M79" i="11" a="1"/>
  <c r="M79" i="11" s="1"/>
  <c r="Y144" i="7" l="1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AB85" i="8" l="1"/>
  <c r="AC85" i="8" s="1"/>
  <c r="AB84" i="8"/>
  <c r="AC84" i="8" s="1"/>
  <c r="AB83" i="8"/>
  <c r="AC83" i="8" s="1"/>
  <c r="I86" i="8" l="1"/>
  <c r="AB86" i="8" s="1"/>
  <c r="AC86" i="8" s="1"/>
  <c r="Q74" i="11" l="1"/>
  <c r="Q75" i="11"/>
  <c r="Q76" i="11"/>
  <c r="Q77" i="11"/>
  <c r="Q78" i="11"/>
  <c r="Q79" i="11"/>
  <c r="Q80" i="11"/>
  <c r="AB82" i="8"/>
  <c r="AC82" i="8" s="1"/>
  <c r="AB81" i="8"/>
  <c r="AC81" i="8" s="1"/>
  <c r="AB80" i="8"/>
  <c r="AC80" i="8" s="1"/>
  <c r="AB79" i="8"/>
  <c r="AC79" i="8" s="1"/>
  <c r="AB77" i="8"/>
  <c r="AC77" i="8" s="1"/>
  <c r="AB76" i="8"/>
  <c r="AC76" i="8" s="1"/>
  <c r="I82" i="8"/>
  <c r="I78" i="8"/>
  <c r="AB78" i="8" s="1"/>
  <c r="AC78" i="8" s="1"/>
  <c r="Y3" i="7" l="1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2" i="7"/>
  <c r="Q72" i="11" l="1"/>
  <c r="CB25" i="11" l="1"/>
  <c r="CB30" i="11"/>
  <c r="CB31" i="11"/>
  <c r="CB33" i="11"/>
  <c r="CB36" i="11"/>
  <c r="CB37" i="11"/>
  <c r="CB44" i="11"/>
  <c r="CB40" i="11"/>
  <c r="CB45" i="11"/>
  <c r="CB46" i="11"/>
  <c r="CB47" i="11"/>
  <c r="CB48" i="11"/>
  <c r="CB52" i="11"/>
  <c r="CB53" i="11"/>
  <c r="CB54" i="11"/>
  <c r="CB64" i="11"/>
  <c r="CB65" i="11"/>
  <c r="CB66" i="11"/>
  <c r="CB67" i="11"/>
  <c r="CB68" i="11"/>
  <c r="CB69" i="11"/>
  <c r="CA70" i="11"/>
  <c r="CA71" i="11"/>
  <c r="CA72" i="11"/>
  <c r="CA73" i="11"/>
  <c r="CA74" i="11"/>
  <c r="CA75" i="11"/>
  <c r="CA76" i="11"/>
  <c r="AV25" i="11"/>
  <c r="AV26" i="11"/>
  <c r="AV65" i="11"/>
  <c r="AV66" i="11"/>
  <c r="AV67" i="11"/>
  <c r="AV68" i="11"/>
  <c r="AV27" i="11"/>
  <c r="AV28" i="11"/>
  <c r="AT29" i="11"/>
  <c r="AT30" i="11"/>
  <c r="AT31" i="11"/>
  <c r="AT32" i="11"/>
  <c r="AT43" i="11"/>
  <c r="AT49" i="11"/>
  <c r="AT52" i="11"/>
  <c r="AT53" i="11"/>
  <c r="AT69" i="11"/>
  <c r="AT70" i="11"/>
  <c r="AT71" i="11"/>
  <c r="AT72" i="11"/>
  <c r="AT73" i="11"/>
  <c r="AT74" i="11"/>
  <c r="AU25" i="11"/>
  <c r="AU26" i="11"/>
  <c r="AU65" i="11"/>
  <c r="AU66" i="11"/>
  <c r="AU67" i="11"/>
  <c r="AU68" i="11"/>
  <c r="AU27" i="11"/>
  <c r="AU28" i="11"/>
  <c r="AU29" i="11"/>
  <c r="AU30" i="11"/>
  <c r="AU31" i="11"/>
  <c r="AU32" i="11"/>
  <c r="AU43" i="11"/>
  <c r="AU49" i="11"/>
  <c r="AU52" i="11"/>
  <c r="AU53" i="11"/>
  <c r="AT27" i="11"/>
  <c r="BH29" i="11"/>
  <c r="BH30" i="11"/>
  <c r="BH31" i="11"/>
  <c r="BH32" i="11"/>
  <c r="BH33" i="11"/>
  <c r="BH34" i="11"/>
  <c r="BH35" i="11"/>
  <c r="BH36" i="11"/>
  <c r="BH37" i="11"/>
  <c r="BH38" i="11"/>
  <c r="BH42" i="11"/>
  <c r="BH39" i="11"/>
  <c r="BH44" i="11"/>
  <c r="BH40" i="11"/>
  <c r="BH41" i="11"/>
  <c r="BH43" i="11"/>
  <c r="BH45" i="11"/>
  <c r="BH46" i="11"/>
  <c r="BH47" i="11"/>
  <c r="BH48" i="11"/>
  <c r="BH49" i="11"/>
  <c r="BH50" i="11"/>
  <c r="BH51" i="11"/>
  <c r="BH52" i="11"/>
  <c r="BH53" i="11"/>
  <c r="BH54" i="11"/>
  <c r="BH55" i="11"/>
  <c r="BH56" i="11"/>
  <c r="BH57" i="11"/>
  <c r="BH58" i="11"/>
  <c r="BH59" i="11"/>
  <c r="BH60" i="11"/>
  <c r="BH61" i="11"/>
  <c r="BH62" i="11"/>
  <c r="BH63" i="11"/>
  <c r="BH64" i="11"/>
  <c r="BH65" i="11"/>
  <c r="BH66" i="11"/>
  <c r="BH67" i="11"/>
  <c r="BH68" i="11"/>
  <c r="BH69" i="11"/>
  <c r="BH70" i="11"/>
  <c r="BH71" i="11"/>
  <c r="BH72" i="11"/>
  <c r="BH73" i="11"/>
  <c r="BH74" i="11"/>
  <c r="BH75" i="11"/>
  <c r="BH76" i="11"/>
  <c r="BH77" i="11"/>
  <c r="BH78" i="11"/>
  <c r="BH79" i="11"/>
  <c r="BG54" i="11"/>
  <c r="BG55" i="11"/>
  <c r="BG56" i="11"/>
  <c r="BG57" i="11"/>
  <c r="BG58" i="11"/>
  <c r="BG59" i="11"/>
  <c r="BG60" i="11"/>
  <c r="BG61" i="11"/>
  <c r="BG62" i="11"/>
  <c r="BG63" i="11"/>
  <c r="BG64" i="11"/>
  <c r="BG65" i="11"/>
  <c r="BG66" i="11"/>
  <c r="BG67" i="11"/>
  <c r="BG68" i="11"/>
  <c r="BG69" i="11"/>
  <c r="BF54" i="11"/>
  <c r="BF55" i="11"/>
  <c r="BF56" i="11"/>
  <c r="BF57" i="11"/>
  <c r="BF58" i="11"/>
  <c r="BF59" i="11"/>
  <c r="BF60" i="11"/>
  <c r="BF61" i="11"/>
  <c r="BF62" i="11"/>
  <c r="BF63" i="11"/>
  <c r="BF64" i="11"/>
  <c r="BF65" i="11"/>
  <c r="BF66" i="11"/>
  <c r="BF67" i="11"/>
  <c r="BF68" i="11"/>
  <c r="BF69" i="11"/>
  <c r="BE54" i="11"/>
  <c r="BE55" i="11"/>
  <c r="BE56" i="11"/>
  <c r="BE57" i="11"/>
  <c r="BE58" i="11"/>
  <c r="BE59" i="11"/>
  <c r="BE60" i="11"/>
  <c r="BE61" i="11"/>
  <c r="BE62" i="11"/>
  <c r="BE63" i="11"/>
  <c r="BE64" i="11"/>
  <c r="BE65" i="11"/>
  <c r="BE66" i="11"/>
  <c r="BE67" i="11"/>
  <c r="BE68" i="11"/>
  <c r="BE69" i="11"/>
  <c r="BD54" i="11"/>
  <c r="BD55" i="11"/>
  <c r="BD56" i="11"/>
  <c r="BD57" i="11"/>
  <c r="BD58" i="11"/>
  <c r="BD59" i="11"/>
  <c r="BD60" i="11"/>
  <c r="BD61" i="11"/>
  <c r="BD62" i="11"/>
  <c r="BD63" i="11"/>
  <c r="BD64" i="11"/>
  <c r="BD65" i="11"/>
  <c r="BD66" i="11"/>
  <c r="BD67" i="11"/>
  <c r="BD68" i="11"/>
  <c r="BD69" i="11"/>
  <c r="BD70" i="11"/>
  <c r="BD71" i="11"/>
  <c r="BD72" i="11"/>
  <c r="BD73" i="11"/>
  <c r="BD74" i="11"/>
  <c r="BD75" i="11"/>
  <c r="BC53" i="11"/>
  <c r="BC54" i="11"/>
  <c r="BC55" i="11"/>
  <c r="BC56" i="11"/>
  <c r="BC57" i="11"/>
  <c r="BC58" i="11"/>
  <c r="BC59" i="11"/>
  <c r="BC60" i="11"/>
  <c r="BC61" i="11"/>
  <c r="BC62" i="11"/>
  <c r="BC63" i="11"/>
  <c r="BC64" i="11"/>
  <c r="BC65" i="11"/>
  <c r="BC66" i="11"/>
  <c r="BC67" i="11"/>
  <c r="BC68" i="11"/>
  <c r="BC69" i="11"/>
  <c r="BC70" i="11"/>
  <c r="BC71" i="11"/>
  <c r="BC72" i="11"/>
  <c r="BC73" i="11"/>
  <c r="BC74" i="11"/>
  <c r="BC75" i="11"/>
  <c r="BC76" i="11"/>
  <c r="BC77" i="11"/>
  <c r="BC78" i="11"/>
  <c r="AX35" i="11"/>
  <c r="AX46" i="11"/>
  <c r="AX15" i="11"/>
  <c r="AX54" i="11"/>
  <c r="AX38" i="11"/>
  <c r="AX55" i="11"/>
  <c r="AX47" i="11"/>
  <c r="AX16" i="11"/>
  <c r="AX17" i="11"/>
  <c r="AX18" i="11"/>
  <c r="AX39" i="11"/>
  <c r="AX19" i="11"/>
  <c r="AX36" i="11"/>
  <c r="AX20" i="11"/>
  <c r="AX37" i="11"/>
  <c r="AX48" i="11"/>
  <c r="AX21" i="11"/>
  <c r="AX40" i="11"/>
  <c r="AX22" i="11"/>
  <c r="AX56" i="11"/>
  <c r="AX23" i="11"/>
  <c r="AX24" i="11"/>
  <c r="AX41" i="11"/>
  <c r="AX57" i="11"/>
  <c r="AX42" i="11"/>
  <c r="AX59" i="11"/>
  <c r="AX60" i="11"/>
  <c r="AX58" i="11"/>
  <c r="AX61" i="11"/>
  <c r="AX63" i="11"/>
  <c r="AX62" i="11"/>
  <c r="AX64" i="11"/>
  <c r="AX25" i="11"/>
  <c r="AX26" i="11"/>
  <c r="AX65" i="11"/>
  <c r="AX66" i="11"/>
  <c r="AX67" i="11"/>
  <c r="AX68" i="11"/>
  <c r="AX27" i="11"/>
  <c r="AX28" i="11"/>
  <c r="AX29" i="11"/>
  <c r="AX30" i="11"/>
  <c r="AX31" i="11"/>
  <c r="AX32" i="11"/>
  <c r="AX43" i="11"/>
  <c r="AX49" i="11"/>
  <c r="AX52" i="11"/>
  <c r="AX53" i="11"/>
  <c r="AX69" i="11"/>
  <c r="AX70" i="11"/>
  <c r="AX71" i="11"/>
  <c r="AX72" i="11"/>
  <c r="AX73" i="11"/>
  <c r="AX74" i="11"/>
  <c r="AW43" i="11"/>
  <c r="AW49" i="11"/>
  <c r="AW52" i="11"/>
  <c r="AW53" i="11"/>
  <c r="AW69" i="11"/>
  <c r="AW70" i="11"/>
  <c r="AW71" i="11"/>
  <c r="AW72" i="11"/>
  <c r="AW73" i="11"/>
  <c r="AW74" i="11"/>
  <c r="AV43" i="11"/>
  <c r="AV49" i="11"/>
  <c r="AV52" i="11"/>
  <c r="AV53" i="11"/>
  <c r="AV69" i="11"/>
  <c r="AV70" i="11"/>
  <c r="AV71" i="11"/>
  <c r="AV72" i="11"/>
  <c r="AV73" i="11"/>
  <c r="AV74" i="11"/>
  <c r="AS43" i="11"/>
  <c r="CA66" i="11" s="1"/>
  <c r="AS49" i="11"/>
  <c r="AS52" i="11"/>
  <c r="AS53" i="11"/>
  <c r="AS69" i="11"/>
  <c r="AS70" i="11"/>
  <c r="AS71" i="11"/>
  <c r="AS72" i="11"/>
  <c r="AS73" i="11"/>
  <c r="AS74" i="11"/>
  <c r="M75" i="11" l="1" a="1"/>
  <c r="M75" i="11" s="1"/>
  <c r="M76" i="11" a="1"/>
  <c r="M76" i="11" s="1"/>
  <c r="BZ70" i="11"/>
  <c r="BZ71" i="11"/>
  <c r="BP75" i="11"/>
  <c r="CJ75" i="11" s="1"/>
  <c r="BQ75" i="11"/>
  <c r="BR75" i="11"/>
  <c r="BX75" i="11"/>
  <c r="BS75" i="11"/>
  <c r="BT75" i="11"/>
  <c r="BZ75" i="11"/>
  <c r="BU75" i="11"/>
  <c r="BN75" i="11"/>
  <c r="CH75" i="11" s="1"/>
  <c r="BO75" i="11"/>
  <c r="BP74" i="11"/>
  <c r="CJ74" i="11" s="1"/>
  <c r="BQ74" i="11"/>
  <c r="BR74" i="11"/>
  <c r="BS74" i="11"/>
  <c r="BZ74" i="11"/>
  <c r="BT74" i="11"/>
  <c r="BU74" i="11"/>
  <c r="BN74" i="11"/>
  <c r="CH74" i="11" s="1"/>
  <c r="BO74" i="11"/>
  <c r="BZ73" i="11"/>
  <c r="BZ72" i="11"/>
  <c r="BP78" i="11"/>
  <c r="BN78" i="11"/>
  <c r="BS78" i="11"/>
  <c r="BU78" i="11"/>
  <c r="BQ78" i="11"/>
  <c r="BR78" i="11"/>
  <c r="BT78" i="11"/>
  <c r="BO78" i="11"/>
  <c r="BR79" i="11"/>
  <c r="BU79" i="11"/>
  <c r="BT79" i="11"/>
  <c r="BS79" i="11"/>
  <c r="BP77" i="11"/>
  <c r="BQ77" i="11"/>
  <c r="BR77" i="11"/>
  <c r="BO77" i="11"/>
  <c r="BU77" i="11"/>
  <c r="BT77" i="11"/>
  <c r="BN77" i="11"/>
  <c r="BS77" i="11"/>
  <c r="BO76" i="11"/>
  <c r="BP76" i="11"/>
  <c r="BT76" i="11"/>
  <c r="BS76" i="11"/>
  <c r="BN76" i="11"/>
  <c r="BR76" i="11"/>
  <c r="BQ76" i="11"/>
  <c r="BU76" i="11"/>
  <c r="BP72" i="11"/>
  <c r="CJ72" i="11" s="1"/>
  <c r="BP71" i="11"/>
  <c r="CJ71" i="11" s="1"/>
  <c r="BP70" i="11"/>
  <c r="CJ70" i="11" s="1"/>
  <c r="BO72" i="11"/>
  <c r="BO71" i="11"/>
  <c r="BO70" i="11"/>
  <c r="BX74" i="11"/>
  <c r="BX73" i="11"/>
  <c r="BX72" i="11"/>
  <c r="BX71" i="11"/>
  <c r="BX70" i="11"/>
  <c r="BP73" i="11"/>
  <c r="CJ73" i="11" s="1"/>
  <c r="BP69" i="11"/>
  <c r="N73" i="11" l="1" a="1"/>
  <c r="N73" i="11" s="1"/>
  <c r="N74" i="11" a="1"/>
  <c r="N74" i="11" s="1"/>
  <c r="N75" i="11" a="1"/>
  <c r="N75" i="11" s="1"/>
  <c r="M74" i="11" a="1"/>
  <c r="M74" i="11" s="1"/>
  <c r="Q69" i="11"/>
  <c r="Q70" i="11"/>
  <c r="Q71" i="11"/>
  <c r="Q73" i="11"/>
  <c r="AB74" i="8" l="1"/>
  <c r="AC74" i="8" s="1"/>
  <c r="AB73" i="8"/>
  <c r="AC73" i="8" s="1"/>
  <c r="AB72" i="8"/>
  <c r="AC72" i="8" s="1"/>
  <c r="I75" i="8" l="1"/>
  <c r="AB75" i="8" s="1"/>
  <c r="AC75" i="8" s="1"/>
  <c r="AB70" i="8"/>
  <c r="AC70" i="8" s="1"/>
  <c r="AB69" i="8"/>
  <c r="AC69" i="8" s="1"/>
  <c r="I71" i="8"/>
  <c r="AB71" i="8" s="1"/>
  <c r="AC71" i="8" s="1"/>
  <c r="I68" i="8"/>
  <c r="AB68" i="8" s="1"/>
  <c r="AC68" i="8" s="1"/>
  <c r="Q62" i="11" l="1"/>
  <c r="Q56" i="11"/>
  <c r="Q58" i="11"/>
  <c r="Q59" i="11"/>
  <c r="Q60" i="11"/>
  <c r="Q61" i="11"/>
  <c r="Q63" i="11"/>
  <c r="Q64" i="11"/>
  <c r="Q65" i="11"/>
  <c r="Q66" i="11"/>
  <c r="Q67" i="11"/>
  <c r="Q68" i="11"/>
  <c r="Q55" i="11"/>
  <c r="AB66" i="8" l="1"/>
  <c r="AC66" i="8" s="1"/>
  <c r="AB65" i="8"/>
  <c r="AC65" i="8" s="1"/>
  <c r="AB64" i="8"/>
  <c r="AC64" i="8" s="1"/>
  <c r="I67" i="8"/>
  <c r="AB67" i="8" s="1"/>
  <c r="AC67" i="8" s="1"/>
  <c r="CL3" i="11" l="1"/>
  <c r="CM3" i="11"/>
  <c r="CN3" i="11"/>
  <c r="CO3" i="11"/>
  <c r="CM4" i="11"/>
  <c r="CN4" i="11"/>
  <c r="CO4" i="11"/>
  <c r="CM5" i="11"/>
  <c r="CN5" i="11"/>
  <c r="CO5" i="11"/>
  <c r="CM6" i="11"/>
  <c r="CN6" i="11"/>
  <c r="CM7" i="11"/>
  <c r="CN7" i="11"/>
  <c r="CM8" i="11"/>
  <c r="CN8" i="11"/>
  <c r="CM9" i="11"/>
  <c r="CN9" i="11"/>
  <c r="CM10" i="11"/>
  <c r="CN10" i="11"/>
  <c r="CM11" i="11"/>
  <c r="CN11" i="11"/>
  <c r="CO11" i="11"/>
  <c r="CM12" i="11"/>
  <c r="CN12" i="11"/>
  <c r="CL13" i="11"/>
  <c r="CM13" i="11"/>
  <c r="CN13" i="11"/>
  <c r="CM14" i="11"/>
  <c r="CN14" i="11"/>
  <c r="CM15" i="11"/>
  <c r="CN15" i="11"/>
  <c r="CO15" i="11"/>
  <c r="CM16" i="11"/>
  <c r="CN16" i="11"/>
  <c r="CM17" i="11"/>
  <c r="CN17" i="11"/>
  <c r="CM18" i="11"/>
  <c r="CN18" i="11"/>
  <c r="CM19" i="11"/>
  <c r="CN19" i="11"/>
  <c r="CO19" i="11"/>
  <c r="CM20" i="11"/>
  <c r="CN20" i="11"/>
  <c r="CM21" i="11"/>
  <c r="CN21" i="11"/>
  <c r="CM22" i="11"/>
  <c r="CN22" i="11"/>
  <c r="CM23" i="11"/>
  <c r="CN23" i="11"/>
  <c r="CM24" i="11"/>
  <c r="CN24" i="11"/>
  <c r="CL25" i="11"/>
  <c r="CM25" i="11"/>
  <c r="CN25" i="11"/>
  <c r="CM26" i="11"/>
  <c r="CN26" i="11"/>
  <c r="CM27" i="11"/>
  <c r="CN27" i="11"/>
  <c r="CM28" i="11"/>
  <c r="CN28" i="11"/>
  <c r="CM29" i="11"/>
  <c r="CN29" i="11"/>
  <c r="CL30" i="11"/>
  <c r="CM30" i="11"/>
  <c r="CN30" i="11"/>
  <c r="CM31" i="11"/>
  <c r="CN31" i="11"/>
  <c r="CM32" i="11"/>
  <c r="CN32" i="11"/>
  <c r="CM33" i="11"/>
  <c r="CN33" i="11"/>
  <c r="CM34" i="11"/>
  <c r="CN34" i="11"/>
  <c r="CM35" i="11"/>
  <c r="CN35" i="11"/>
  <c r="CL36" i="11"/>
  <c r="CM36" i="11"/>
  <c r="CN36" i="11"/>
  <c r="CL37" i="11"/>
  <c r="CM37" i="11"/>
  <c r="CN37" i="11"/>
  <c r="CM38" i="11"/>
  <c r="CN38" i="11"/>
  <c r="CM42" i="11"/>
  <c r="CN42" i="11"/>
  <c r="CM39" i="11"/>
  <c r="CN39" i="11"/>
  <c r="CL44" i="11"/>
  <c r="CM44" i="11"/>
  <c r="CN44" i="11"/>
  <c r="CL40" i="11"/>
  <c r="CM40" i="11"/>
  <c r="CN40" i="11"/>
  <c r="CM41" i="11"/>
  <c r="CN41" i="11"/>
  <c r="CM43" i="11"/>
  <c r="CN43" i="11"/>
  <c r="CL45" i="11"/>
  <c r="CM45" i="11"/>
  <c r="CN45" i="11"/>
  <c r="CO45" i="11"/>
  <c r="CL46" i="11"/>
  <c r="CM46" i="11"/>
  <c r="CN46" i="11"/>
  <c r="CO46" i="11"/>
  <c r="CL47" i="11"/>
  <c r="CM47" i="11"/>
  <c r="CN47" i="11"/>
  <c r="CL48" i="11"/>
  <c r="CM48" i="11"/>
  <c r="CN48" i="11"/>
  <c r="CM49" i="11"/>
  <c r="CN49" i="11"/>
  <c r="CM50" i="11"/>
  <c r="CN50" i="11"/>
  <c r="CO50" i="11"/>
  <c r="CM51" i="11"/>
  <c r="CN51" i="11"/>
  <c r="CO51" i="11"/>
  <c r="CL52" i="11"/>
  <c r="CM52" i="11"/>
  <c r="CN52" i="11"/>
  <c r="CO52" i="11"/>
  <c r="CL53" i="11"/>
  <c r="CM53" i="11"/>
  <c r="CN53" i="11"/>
  <c r="CO53" i="11"/>
  <c r="CL54" i="11"/>
  <c r="CM54" i="11"/>
  <c r="CN54" i="11"/>
  <c r="CO56" i="11"/>
  <c r="CO57" i="11"/>
  <c r="CO58" i="11"/>
  <c r="CO59" i="11"/>
  <c r="CI60" i="11"/>
  <c r="CN60" i="11"/>
  <c r="CI61" i="11"/>
  <c r="CN61" i="11"/>
  <c r="CI62" i="11"/>
  <c r="CN62" i="11"/>
  <c r="CI63" i="11"/>
  <c r="CN63" i="11"/>
  <c r="CH64" i="11"/>
  <c r="CL64" i="11"/>
  <c r="CM64" i="11"/>
  <c r="CN64" i="11"/>
  <c r="CO64" i="11"/>
  <c r="CH65" i="11"/>
  <c r="CL65" i="11"/>
  <c r="CM65" i="11"/>
  <c r="CN65" i="11"/>
  <c r="CO65" i="11"/>
  <c r="CH66" i="11"/>
  <c r="CL66" i="11"/>
  <c r="CM66" i="11"/>
  <c r="CN66" i="11"/>
  <c r="CO66" i="11"/>
  <c r="CH67" i="11"/>
  <c r="CL67" i="11"/>
  <c r="CM67" i="11"/>
  <c r="CN67" i="11"/>
  <c r="CO67" i="11"/>
  <c r="CH68" i="11"/>
  <c r="CL68" i="11"/>
  <c r="CM68" i="11"/>
  <c r="CN68" i="11"/>
  <c r="CO68" i="11"/>
  <c r="CH69" i="11"/>
  <c r="CL69" i="11"/>
  <c r="CM69" i="11"/>
  <c r="CN69" i="11"/>
  <c r="CO69" i="11"/>
  <c r="CL70" i="11"/>
  <c r="CM70" i="11"/>
  <c r="CN70" i="11"/>
  <c r="CO70" i="11"/>
  <c r="CL71" i="11"/>
  <c r="CM71" i="11"/>
  <c r="CN71" i="11"/>
  <c r="CO71" i="11"/>
  <c r="CL72" i="11"/>
  <c r="N72" i="11" s="1" a="1"/>
  <c r="N72" i="11" s="1"/>
  <c r="CM72" i="11"/>
  <c r="CN72" i="11"/>
  <c r="CO72" i="11"/>
  <c r="CL2" i="11"/>
  <c r="CM2" i="11"/>
  <c r="CN2" i="11"/>
  <c r="CO2" i="11"/>
  <c r="CE2" i="11"/>
  <c r="AX44" i="11"/>
  <c r="BF45" i="11"/>
  <c r="BC2" i="11"/>
  <c r="AU44" i="11"/>
  <c r="AT44" i="11"/>
  <c r="AS44" i="11"/>
  <c r="Q2" i="11"/>
  <c r="Q17" i="11"/>
  <c r="N70" i="11" l="1" a="1"/>
  <c r="N70" i="11" s="1"/>
  <c r="N71" i="11" a="1"/>
  <c r="N71" i="11" s="1"/>
  <c r="CB3" i="11"/>
  <c r="CC3" i="11"/>
  <c r="CD3" i="11"/>
  <c r="CE3" i="11"/>
  <c r="CC4" i="11"/>
  <c r="CD4" i="11"/>
  <c r="CE4" i="11"/>
  <c r="CC5" i="11"/>
  <c r="CD5" i="11"/>
  <c r="CE5" i="11"/>
  <c r="CC6" i="11"/>
  <c r="CD6" i="11"/>
  <c r="CE6" i="11"/>
  <c r="CC7" i="11"/>
  <c r="CD7" i="11"/>
  <c r="CE7" i="11"/>
  <c r="CC8" i="11"/>
  <c r="CD8" i="11"/>
  <c r="CE8" i="11"/>
  <c r="CC9" i="11"/>
  <c r="CD9" i="11"/>
  <c r="CE9" i="11"/>
  <c r="CC10" i="11"/>
  <c r="CD10" i="11"/>
  <c r="CE10" i="11"/>
  <c r="CC11" i="11"/>
  <c r="CD11" i="11"/>
  <c r="CE11" i="11"/>
  <c r="CC12" i="11"/>
  <c r="CD12" i="11"/>
  <c r="CE12" i="11"/>
  <c r="CB13" i="11"/>
  <c r="CC13" i="11"/>
  <c r="CD13" i="11"/>
  <c r="CE13" i="11"/>
  <c r="CC14" i="11"/>
  <c r="CD14" i="11"/>
  <c r="CE14" i="11"/>
  <c r="CC15" i="11"/>
  <c r="CD15" i="11"/>
  <c r="CE15" i="11"/>
  <c r="CC16" i="11"/>
  <c r="CD16" i="11"/>
  <c r="CE16" i="11"/>
  <c r="CC17" i="11"/>
  <c r="CD17" i="11"/>
  <c r="CE17" i="11"/>
  <c r="CC18" i="11"/>
  <c r="CD18" i="11"/>
  <c r="CE18" i="11"/>
  <c r="CC19" i="11"/>
  <c r="CD19" i="11"/>
  <c r="CE19" i="11"/>
  <c r="CC20" i="11"/>
  <c r="CD20" i="11"/>
  <c r="CE20" i="11"/>
  <c r="CC21" i="11"/>
  <c r="CD21" i="11"/>
  <c r="CE21" i="11"/>
  <c r="CC22" i="11"/>
  <c r="CD22" i="11"/>
  <c r="CE22" i="11"/>
  <c r="CC23" i="11"/>
  <c r="CD23" i="11"/>
  <c r="CE23" i="11"/>
  <c r="CC24" i="11"/>
  <c r="CD24" i="11"/>
  <c r="CE24" i="11"/>
  <c r="CC25" i="11"/>
  <c r="CD25" i="11"/>
  <c r="CE25" i="11"/>
  <c r="CC26" i="11"/>
  <c r="CD26" i="11"/>
  <c r="CE26" i="11"/>
  <c r="CC27" i="11"/>
  <c r="CD27" i="11"/>
  <c r="CE27" i="11"/>
  <c r="CC28" i="11"/>
  <c r="CD28" i="11"/>
  <c r="CE28" i="11"/>
  <c r="CC29" i="11"/>
  <c r="CD29" i="11"/>
  <c r="CE29" i="11"/>
  <c r="CC30" i="11"/>
  <c r="CD30" i="11"/>
  <c r="CE30" i="11"/>
  <c r="CC31" i="11"/>
  <c r="CD31" i="11"/>
  <c r="CE31" i="11"/>
  <c r="CC32" i="11"/>
  <c r="CD32" i="11"/>
  <c r="CE32" i="11"/>
  <c r="CC33" i="11"/>
  <c r="CD33" i="11"/>
  <c r="CE33" i="11"/>
  <c r="CC34" i="11"/>
  <c r="CD34" i="11"/>
  <c r="CE34" i="11"/>
  <c r="CC35" i="11"/>
  <c r="CD35" i="11"/>
  <c r="CE35" i="11"/>
  <c r="CC36" i="11"/>
  <c r="CD36" i="11"/>
  <c r="CE36" i="11"/>
  <c r="CC37" i="11"/>
  <c r="CD37" i="11"/>
  <c r="CE37" i="11"/>
  <c r="CC38" i="11"/>
  <c r="CD38" i="11"/>
  <c r="CE38" i="11"/>
  <c r="CC42" i="11"/>
  <c r="CD42" i="11"/>
  <c r="CE42" i="11"/>
  <c r="CC39" i="11"/>
  <c r="CD39" i="11"/>
  <c r="CE39" i="11"/>
  <c r="CC44" i="11"/>
  <c r="CD44" i="11"/>
  <c r="CE44" i="11"/>
  <c r="CC40" i="11"/>
  <c r="CD40" i="11"/>
  <c r="CE40" i="11"/>
  <c r="CC41" i="11"/>
  <c r="CD41" i="11"/>
  <c r="CE41" i="11"/>
  <c r="CC43" i="11"/>
  <c r="CD43" i="11"/>
  <c r="CE43" i="11"/>
  <c r="CC45" i="11"/>
  <c r="CD45" i="11"/>
  <c r="CE45" i="11"/>
  <c r="CC46" i="11"/>
  <c r="CD46" i="11"/>
  <c r="CE46" i="11"/>
  <c r="CC47" i="11"/>
  <c r="CD47" i="11"/>
  <c r="CE47" i="11"/>
  <c r="CC48" i="11"/>
  <c r="CD48" i="11"/>
  <c r="CE48" i="11"/>
  <c r="CC49" i="11"/>
  <c r="CD49" i="11"/>
  <c r="CE49" i="11"/>
  <c r="CC50" i="11"/>
  <c r="CD50" i="11"/>
  <c r="CE50" i="11"/>
  <c r="CC51" i="11"/>
  <c r="CD51" i="11"/>
  <c r="CE51" i="11"/>
  <c r="CC52" i="11"/>
  <c r="CD52" i="11"/>
  <c r="CE52" i="11"/>
  <c r="CC53" i="11"/>
  <c r="CD53" i="11"/>
  <c r="CE53" i="11"/>
  <c r="CC54" i="11"/>
  <c r="CD54" i="11"/>
  <c r="CE54" i="11"/>
  <c r="CE60" i="11"/>
  <c r="CE61" i="11"/>
  <c r="CE62" i="11"/>
  <c r="CE63" i="11"/>
  <c r="CC64" i="11"/>
  <c r="CD64" i="11"/>
  <c r="CE64" i="11"/>
  <c r="CC65" i="11"/>
  <c r="CD65" i="11"/>
  <c r="CE65" i="11"/>
  <c r="CC66" i="11"/>
  <c r="CD66" i="11"/>
  <c r="CE66" i="11"/>
  <c r="CC67" i="11"/>
  <c r="CD67" i="11"/>
  <c r="CE67" i="11"/>
  <c r="CC68" i="11"/>
  <c r="CD68" i="11"/>
  <c r="CE68" i="11"/>
  <c r="CC69" i="11"/>
  <c r="CD69" i="11"/>
  <c r="CE69" i="11"/>
  <c r="CB70" i="11"/>
  <c r="CC70" i="11"/>
  <c r="CD70" i="11"/>
  <c r="CE70" i="11"/>
  <c r="CB71" i="11"/>
  <c r="CC71" i="11"/>
  <c r="CD71" i="11"/>
  <c r="CE71" i="11"/>
  <c r="CB72" i="11"/>
  <c r="CC72" i="11"/>
  <c r="CD72" i="11"/>
  <c r="CE72" i="11"/>
  <c r="CB73" i="11"/>
  <c r="CC73" i="11"/>
  <c r="CD73" i="11"/>
  <c r="CE73" i="11"/>
  <c r="BN71" i="11"/>
  <c r="CH71" i="11" s="1"/>
  <c r="BQ71" i="11"/>
  <c r="BR71" i="11"/>
  <c r="BS71" i="11"/>
  <c r="BT71" i="11"/>
  <c r="BU71" i="11"/>
  <c r="BN72" i="11"/>
  <c r="CH72" i="11" s="1"/>
  <c r="BQ72" i="11"/>
  <c r="BR72" i="11"/>
  <c r="BS72" i="11"/>
  <c r="BT72" i="11"/>
  <c r="BU72" i="11"/>
  <c r="BN73" i="11"/>
  <c r="CH73" i="11" s="1"/>
  <c r="BO73" i="11"/>
  <c r="BQ73" i="11"/>
  <c r="BR73" i="11"/>
  <c r="BS73" i="11"/>
  <c r="BT73" i="11"/>
  <c r="BU73" i="11"/>
  <c r="BZ69" i="11"/>
  <c r="AW63" i="11"/>
  <c r="AU8" i="11"/>
  <c r="AS45" i="11"/>
  <c r="AT45" i="11"/>
  <c r="AU45" i="11"/>
  <c r="AV45" i="11"/>
  <c r="AW45" i="11"/>
  <c r="AX45" i="11"/>
  <c r="AY45" i="11"/>
  <c r="AZ45" i="11"/>
  <c r="BA45" i="11"/>
  <c r="AS50" i="11"/>
  <c r="AT50" i="11"/>
  <c r="AU50" i="11"/>
  <c r="AV50" i="11"/>
  <c r="AW50" i="11"/>
  <c r="AX50" i="11"/>
  <c r="AY50" i="11"/>
  <c r="AZ50" i="11"/>
  <c r="BA50" i="11"/>
  <c r="AS51" i="11"/>
  <c r="AT51" i="11"/>
  <c r="AU51" i="11"/>
  <c r="AV51" i="11"/>
  <c r="AW51" i="11"/>
  <c r="AX51" i="11"/>
  <c r="AY51" i="11"/>
  <c r="AZ51" i="11"/>
  <c r="BA51" i="11"/>
  <c r="AS1" i="11"/>
  <c r="AT1" i="11"/>
  <c r="AU1" i="11"/>
  <c r="AV1" i="11"/>
  <c r="AW1" i="11"/>
  <c r="AX1" i="11"/>
  <c r="AY1" i="11"/>
  <c r="AZ1" i="11"/>
  <c r="BA1" i="11"/>
  <c r="AS2" i="11"/>
  <c r="AT2" i="11"/>
  <c r="AU2" i="11"/>
  <c r="AV2" i="11"/>
  <c r="AW2" i="11"/>
  <c r="AX2" i="11"/>
  <c r="AY2" i="11"/>
  <c r="AZ2" i="11"/>
  <c r="BA2" i="11"/>
  <c r="AS3" i="11"/>
  <c r="AT3" i="11"/>
  <c r="AU3" i="11"/>
  <c r="AV3" i="11"/>
  <c r="AW3" i="11"/>
  <c r="AX3" i="11"/>
  <c r="AY3" i="11"/>
  <c r="AZ3" i="11"/>
  <c r="BA3" i="11"/>
  <c r="AS4" i="11"/>
  <c r="AT4" i="11"/>
  <c r="AU4" i="11"/>
  <c r="AV4" i="11"/>
  <c r="AW4" i="11"/>
  <c r="AX4" i="11"/>
  <c r="AY4" i="11"/>
  <c r="AZ4" i="11"/>
  <c r="BA4" i="11"/>
  <c r="AS5" i="11"/>
  <c r="AT5" i="11"/>
  <c r="AU5" i="11"/>
  <c r="AV5" i="11"/>
  <c r="AW5" i="11"/>
  <c r="AX5" i="11"/>
  <c r="AY5" i="11"/>
  <c r="AZ5" i="11"/>
  <c r="BA5" i="11"/>
  <c r="AS6" i="11"/>
  <c r="AT6" i="11"/>
  <c r="AU6" i="11"/>
  <c r="AV6" i="11"/>
  <c r="AW6" i="11"/>
  <c r="AX6" i="11"/>
  <c r="AY6" i="11"/>
  <c r="AZ6" i="11"/>
  <c r="BA6" i="11"/>
  <c r="AS7" i="11"/>
  <c r="AT7" i="11"/>
  <c r="AU7" i="11"/>
  <c r="AV7" i="11"/>
  <c r="AW7" i="11"/>
  <c r="AX7" i="11"/>
  <c r="AY7" i="11"/>
  <c r="AZ7" i="11"/>
  <c r="BA7" i="11"/>
  <c r="AS8" i="11"/>
  <c r="AT8" i="11"/>
  <c r="AV8" i="11"/>
  <c r="AW8" i="11"/>
  <c r="AX8" i="11"/>
  <c r="AY8" i="11"/>
  <c r="AZ8" i="11"/>
  <c r="BA8" i="11"/>
  <c r="AS9" i="11"/>
  <c r="AT9" i="11"/>
  <c r="AU9" i="11"/>
  <c r="AV9" i="11"/>
  <c r="AW9" i="11"/>
  <c r="AX9" i="11"/>
  <c r="AY9" i="11"/>
  <c r="AZ9" i="11"/>
  <c r="BA9" i="11"/>
  <c r="AS10" i="11"/>
  <c r="AT10" i="11"/>
  <c r="AU10" i="11"/>
  <c r="AV10" i="11"/>
  <c r="AW10" i="11"/>
  <c r="AX10" i="11"/>
  <c r="AY10" i="11"/>
  <c r="AZ10" i="11"/>
  <c r="BA10" i="11"/>
  <c r="AS33" i="11"/>
  <c r="AT33" i="11"/>
  <c r="AU33" i="11"/>
  <c r="AV33" i="11"/>
  <c r="AW33" i="11"/>
  <c r="AX33" i="11"/>
  <c r="AY33" i="11"/>
  <c r="AZ33" i="11"/>
  <c r="BA33" i="11"/>
  <c r="AS11" i="11"/>
  <c r="AT11" i="11"/>
  <c r="AU11" i="11"/>
  <c r="AV11" i="11"/>
  <c r="AW11" i="11"/>
  <c r="AX11" i="11"/>
  <c r="AY11" i="11"/>
  <c r="AZ11" i="11"/>
  <c r="BA11" i="11"/>
  <c r="AS34" i="11"/>
  <c r="AT34" i="11"/>
  <c r="AU34" i="11"/>
  <c r="AV34" i="11"/>
  <c r="AW34" i="11"/>
  <c r="AX34" i="11"/>
  <c r="AY34" i="11"/>
  <c r="AZ34" i="11"/>
  <c r="BA34" i="11"/>
  <c r="AS12" i="11"/>
  <c r="AT12" i="11"/>
  <c r="AU12" i="11"/>
  <c r="AV12" i="11"/>
  <c r="AW12" i="11"/>
  <c r="AX12" i="11"/>
  <c r="AY12" i="11"/>
  <c r="AZ12" i="11"/>
  <c r="BA12" i="11"/>
  <c r="AS13" i="11"/>
  <c r="AT13" i="11"/>
  <c r="AU13" i="11"/>
  <c r="AV13" i="11"/>
  <c r="AW13" i="11"/>
  <c r="AX13" i="11"/>
  <c r="AY13" i="11"/>
  <c r="AZ13" i="11"/>
  <c r="BA13" i="11"/>
  <c r="AS14" i="11"/>
  <c r="AT14" i="11"/>
  <c r="AU14" i="11"/>
  <c r="AV14" i="11"/>
  <c r="AW14" i="11"/>
  <c r="AX14" i="11"/>
  <c r="AY14" i="11"/>
  <c r="AZ14" i="11"/>
  <c r="BA14" i="11"/>
  <c r="AS35" i="11"/>
  <c r="AT35" i="11"/>
  <c r="AU35" i="11"/>
  <c r="AV35" i="11"/>
  <c r="AW35" i="11"/>
  <c r="AY35" i="11"/>
  <c r="AZ35" i="11"/>
  <c r="BA35" i="11"/>
  <c r="AS46" i="11"/>
  <c r="AT46" i="11"/>
  <c r="AU46" i="11"/>
  <c r="AV46" i="11"/>
  <c r="AW46" i="11"/>
  <c r="AY46" i="11"/>
  <c r="AZ46" i="11"/>
  <c r="BA46" i="11"/>
  <c r="AS15" i="11"/>
  <c r="AT15" i="11"/>
  <c r="AU15" i="11"/>
  <c r="AV15" i="11"/>
  <c r="AW15" i="11"/>
  <c r="AY15" i="11"/>
  <c r="AZ15" i="11"/>
  <c r="BA15" i="11"/>
  <c r="AS54" i="11"/>
  <c r="AT54" i="11"/>
  <c r="AU54" i="11"/>
  <c r="AV54" i="11"/>
  <c r="AW54" i="11"/>
  <c r="AY54" i="11"/>
  <c r="AZ54" i="11"/>
  <c r="BA54" i="11"/>
  <c r="AS38" i="11"/>
  <c r="AT38" i="11"/>
  <c r="AU38" i="11"/>
  <c r="AV38" i="11"/>
  <c r="AW38" i="11"/>
  <c r="AY38" i="11"/>
  <c r="AZ38" i="11"/>
  <c r="BA38" i="11"/>
  <c r="AS55" i="11"/>
  <c r="AT55" i="11"/>
  <c r="AU55" i="11"/>
  <c r="AV55" i="11"/>
  <c r="AW55" i="11"/>
  <c r="AY55" i="11"/>
  <c r="AZ55" i="11"/>
  <c r="BA55" i="11"/>
  <c r="AS47" i="11"/>
  <c r="AT47" i="11"/>
  <c r="AU47" i="11"/>
  <c r="AV47" i="11"/>
  <c r="AW47" i="11"/>
  <c r="AY47" i="11"/>
  <c r="AZ47" i="11"/>
  <c r="BA47" i="11"/>
  <c r="AS16" i="11"/>
  <c r="AT16" i="11"/>
  <c r="AU16" i="11"/>
  <c r="AV16" i="11"/>
  <c r="AW16" i="11"/>
  <c r="AY16" i="11"/>
  <c r="AZ16" i="11"/>
  <c r="BA16" i="11"/>
  <c r="AS17" i="11"/>
  <c r="AT17" i="11"/>
  <c r="AU17" i="11"/>
  <c r="AV17" i="11"/>
  <c r="AW17" i="11"/>
  <c r="AY17" i="11"/>
  <c r="AZ17" i="11"/>
  <c r="BA17" i="11"/>
  <c r="AS18" i="11"/>
  <c r="AT18" i="11"/>
  <c r="AU18" i="11"/>
  <c r="AV18" i="11"/>
  <c r="AW18" i="11"/>
  <c r="AY18" i="11"/>
  <c r="AZ18" i="11"/>
  <c r="BA18" i="11"/>
  <c r="AS39" i="11"/>
  <c r="AT39" i="11"/>
  <c r="AU39" i="11"/>
  <c r="AV39" i="11"/>
  <c r="AW39" i="11"/>
  <c r="AY39" i="11"/>
  <c r="AZ39" i="11"/>
  <c r="BA39" i="11"/>
  <c r="AS19" i="11"/>
  <c r="AT19" i="11"/>
  <c r="AU19" i="11"/>
  <c r="AV19" i="11"/>
  <c r="AW19" i="11"/>
  <c r="AY19" i="11"/>
  <c r="AZ19" i="11"/>
  <c r="BA19" i="11"/>
  <c r="AS36" i="11"/>
  <c r="AT36" i="11"/>
  <c r="AU36" i="11"/>
  <c r="AV36" i="11"/>
  <c r="AW36" i="11"/>
  <c r="AY36" i="11"/>
  <c r="AZ36" i="11"/>
  <c r="BA36" i="11"/>
  <c r="AS20" i="11"/>
  <c r="AT20" i="11"/>
  <c r="AU20" i="11"/>
  <c r="AV20" i="11"/>
  <c r="AW20" i="11"/>
  <c r="AY20" i="11"/>
  <c r="AZ20" i="11"/>
  <c r="BA20" i="11"/>
  <c r="AS37" i="11"/>
  <c r="AT37" i="11"/>
  <c r="AU37" i="11"/>
  <c r="AV37" i="11"/>
  <c r="AW37" i="11"/>
  <c r="AY37" i="11"/>
  <c r="AZ37" i="11"/>
  <c r="BA37" i="11"/>
  <c r="AS48" i="11"/>
  <c r="AT48" i="11"/>
  <c r="AU48" i="11"/>
  <c r="AV48" i="11"/>
  <c r="AW48" i="11"/>
  <c r="AY48" i="11"/>
  <c r="AZ48" i="11"/>
  <c r="BA48" i="11"/>
  <c r="AS21" i="11"/>
  <c r="AT21" i="11"/>
  <c r="AU21" i="11"/>
  <c r="AV21" i="11"/>
  <c r="AW21" i="11"/>
  <c r="AY21" i="11"/>
  <c r="AZ21" i="11"/>
  <c r="BA21" i="11"/>
  <c r="AS40" i="11"/>
  <c r="AT40" i="11"/>
  <c r="AU40" i="11"/>
  <c r="AV40" i="11"/>
  <c r="AW40" i="11"/>
  <c r="AY40" i="11"/>
  <c r="AZ40" i="11"/>
  <c r="BA40" i="11"/>
  <c r="AS22" i="11"/>
  <c r="AT22" i="11"/>
  <c r="AU22" i="11"/>
  <c r="AV22" i="11"/>
  <c r="AW22" i="11"/>
  <c r="AY22" i="11"/>
  <c r="AZ22" i="11"/>
  <c r="BA22" i="11"/>
  <c r="AS56" i="11"/>
  <c r="AT56" i="11"/>
  <c r="AU56" i="11"/>
  <c r="AV56" i="11"/>
  <c r="AW56" i="11"/>
  <c r="AY56" i="11"/>
  <c r="AZ56" i="11"/>
  <c r="BA56" i="11"/>
  <c r="AS23" i="11"/>
  <c r="AT23" i="11"/>
  <c r="AU23" i="11"/>
  <c r="AV23" i="11"/>
  <c r="AW23" i="11"/>
  <c r="AY23" i="11"/>
  <c r="AZ23" i="11"/>
  <c r="BA23" i="11"/>
  <c r="AS24" i="11"/>
  <c r="AT24" i="11"/>
  <c r="AU24" i="11"/>
  <c r="AV24" i="11"/>
  <c r="AW24" i="11"/>
  <c r="AY24" i="11"/>
  <c r="AZ24" i="11"/>
  <c r="BA24" i="11"/>
  <c r="AS41" i="11"/>
  <c r="AT41" i="11"/>
  <c r="AU41" i="11"/>
  <c r="AV41" i="11"/>
  <c r="AW41" i="11"/>
  <c r="AY41" i="11"/>
  <c r="AZ41" i="11"/>
  <c r="BA41" i="11"/>
  <c r="AS57" i="11"/>
  <c r="AT57" i="11"/>
  <c r="AU57" i="11"/>
  <c r="AV57" i="11"/>
  <c r="AW57" i="11"/>
  <c r="AY57" i="11"/>
  <c r="AZ57" i="11"/>
  <c r="BA57" i="11"/>
  <c r="AS42" i="11"/>
  <c r="AT42" i="11"/>
  <c r="AU42" i="11"/>
  <c r="AV42" i="11"/>
  <c r="AW42" i="11"/>
  <c r="AY42" i="11"/>
  <c r="AZ42" i="11"/>
  <c r="BA42" i="11"/>
  <c r="AS59" i="11"/>
  <c r="AT59" i="11"/>
  <c r="AU59" i="11"/>
  <c r="AV59" i="11"/>
  <c r="AW59" i="11"/>
  <c r="AY59" i="11"/>
  <c r="AZ59" i="11"/>
  <c r="BA59" i="11"/>
  <c r="AS60" i="11"/>
  <c r="AT60" i="11"/>
  <c r="AU60" i="11"/>
  <c r="AV60" i="11"/>
  <c r="AW60" i="11"/>
  <c r="AY60" i="11"/>
  <c r="AZ60" i="11"/>
  <c r="BA60" i="11"/>
  <c r="AS58" i="11"/>
  <c r="AT58" i="11"/>
  <c r="AU58" i="11"/>
  <c r="AV58" i="11"/>
  <c r="AW58" i="11"/>
  <c r="AY58" i="11"/>
  <c r="AZ58" i="11"/>
  <c r="BA58" i="11"/>
  <c r="AS61" i="11"/>
  <c r="AT61" i="11"/>
  <c r="AU61" i="11"/>
  <c r="AV61" i="11"/>
  <c r="AW61" i="11"/>
  <c r="AY61" i="11"/>
  <c r="AZ61" i="11"/>
  <c r="BA61" i="11"/>
  <c r="AS63" i="11"/>
  <c r="AT63" i="11"/>
  <c r="AU63" i="11"/>
  <c r="AV63" i="11"/>
  <c r="AY63" i="11"/>
  <c r="AZ63" i="11"/>
  <c r="BA63" i="11"/>
  <c r="AS62" i="11"/>
  <c r="AT62" i="11"/>
  <c r="AU62" i="11"/>
  <c r="AV62" i="11"/>
  <c r="AW62" i="11"/>
  <c r="AY62" i="11"/>
  <c r="AZ62" i="11"/>
  <c r="BA62" i="11"/>
  <c r="AS64" i="11"/>
  <c r="AT64" i="11"/>
  <c r="AU64" i="11"/>
  <c r="AV64" i="11"/>
  <c r="AW64" i="11"/>
  <c r="AY64" i="11"/>
  <c r="AZ64" i="11"/>
  <c r="BA64" i="11"/>
  <c r="AS25" i="11"/>
  <c r="AT25" i="11"/>
  <c r="AW25" i="11"/>
  <c r="AY25" i="11"/>
  <c r="AZ25" i="11"/>
  <c r="BA25" i="11"/>
  <c r="AS26" i="11"/>
  <c r="AT26" i="11"/>
  <c r="AW26" i="11"/>
  <c r="CB55" i="11" s="1"/>
  <c r="AY26" i="11"/>
  <c r="AZ26" i="11"/>
  <c r="BA26" i="11"/>
  <c r="AS65" i="11"/>
  <c r="AT65" i="11"/>
  <c r="AW65" i="11"/>
  <c r="CB56" i="11" s="1"/>
  <c r="AY65" i="11"/>
  <c r="AZ65" i="11"/>
  <c r="BA65" i="11"/>
  <c r="AS66" i="11"/>
  <c r="AT66" i="11"/>
  <c r="AW66" i="11"/>
  <c r="CB57" i="11" s="1"/>
  <c r="AY66" i="11"/>
  <c r="AZ66" i="11"/>
  <c r="BA66" i="11"/>
  <c r="AS67" i="11"/>
  <c r="BP67" i="11" s="1"/>
  <c r="AT67" i="11"/>
  <c r="AW67" i="11"/>
  <c r="CB58" i="11" s="1"/>
  <c r="AY67" i="11"/>
  <c r="AZ67" i="11"/>
  <c r="BA67" i="11"/>
  <c r="AS68" i="11"/>
  <c r="BZ68" i="11" s="1"/>
  <c r="AT68" i="11"/>
  <c r="AW68" i="11"/>
  <c r="AY68" i="11"/>
  <c r="AZ68" i="11"/>
  <c r="BA68" i="11"/>
  <c r="AS27" i="11"/>
  <c r="BX60" i="11" s="1"/>
  <c r="AW27" i="11"/>
  <c r="AY27" i="11"/>
  <c r="AZ27" i="11"/>
  <c r="BA27" i="11"/>
  <c r="AS28" i="11"/>
  <c r="AT28" i="11"/>
  <c r="AW28" i="11"/>
  <c r="AY28" i="11"/>
  <c r="AZ28" i="11"/>
  <c r="BA28" i="11"/>
  <c r="AS29" i="11"/>
  <c r="BX62" i="11" s="1"/>
  <c r="AV29" i="11"/>
  <c r="AW29" i="11"/>
  <c r="AY29" i="11"/>
  <c r="AZ29" i="11"/>
  <c r="BA29" i="11"/>
  <c r="AS30" i="11"/>
  <c r="BX63" i="11" s="1"/>
  <c r="AV30" i="11"/>
  <c r="AW30" i="11"/>
  <c r="AY30" i="11"/>
  <c r="AZ30" i="11"/>
  <c r="BA30" i="11"/>
  <c r="AS31" i="11"/>
  <c r="AV31" i="11"/>
  <c r="AW31" i="11"/>
  <c r="AY31" i="11"/>
  <c r="AZ31" i="11"/>
  <c r="BA31" i="11"/>
  <c r="AS32" i="11"/>
  <c r="AV32" i="11"/>
  <c r="AW32" i="11"/>
  <c r="AY32" i="11"/>
  <c r="AZ32" i="11"/>
  <c r="BA32" i="11"/>
  <c r="BA44" i="11"/>
  <c r="AZ44" i="11"/>
  <c r="AY44" i="11"/>
  <c r="AW44" i="11"/>
  <c r="AV44" i="11"/>
  <c r="CD2" i="11"/>
  <c r="CC2" i="11"/>
  <c r="CB2" i="11"/>
  <c r="Q3" i="11"/>
  <c r="CB59" i="11" l="1"/>
  <c r="M73" i="11" a="1"/>
  <c r="M73" i="11" s="1"/>
  <c r="BO66" i="11"/>
  <c r="BZ67" i="11"/>
  <c r="BO65" i="11"/>
  <c r="CA64" i="11"/>
  <c r="M72" i="11" a="1"/>
  <c r="M72" i="11" s="1"/>
  <c r="M70" i="11" a="1"/>
  <c r="M70" i="11" s="1"/>
  <c r="M71" i="11" a="1"/>
  <c r="M71" i="11" s="1"/>
  <c r="BX61" i="11"/>
  <c r="BZ64" i="11"/>
  <c r="CC59" i="11"/>
  <c r="CD59" i="11"/>
  <c r="CE59" i="11"/>
  <c r="CC58" i="11"/>
  <c r="CD58" i="11"/>
  <c r="CE58" i="11"/>
  <c r="CC57" i="11"/>
  <c r="CD57" i="11"/>
  <c r="CE57" i="11"/>
  <c r="CC56" i="11"/>
  <c r="CD56" i="11"/>
  <c r="CE56" i="11"/>
  <c r="CC55" i="11"/>
  <c r="CD55" i="11"/>
  <c r="CE55" i="11"/>
  <c r="CC63" i="11"/>
  <c r="CD63" i="11"/>
  <c r="CC62" i="11"/>
  <c r="CD62" i="11"/>
  <c r="CC61" i="11"/>
  <c r="CD61" i="11"/>
  <c r="CC60" i="11"/>
  <c r="CD60" i="11"/>
  <c r="CB63" i="11"/>
  <c r="CA63" i="11"/>
  <c r="CB62" i="11"/>
  <c r="CA62" i="11"/>
  <c r="CB61" i="11"/>
  <c r="CA61" i="11"/>
  <c r="CB60" i="11"/>
  <c r="CA60" i="11"/>
  <c r="BQ60" i="11"/>
  <c r="BY65" i="11"/>
  <c r="CA65" i="11"/>
  <c r="BY69" i="11"/>
  <c r="BY68" i="11"/>
  <c r="BY64" i="11"/>
  <c r="BY67" i="11"/>
  <c r="BY66" i="11"/>
  <c r="BZ66" i="11"/>
  <c r="BZ65" i="11"/>
  <c r="BQ70" i="11"/>
  <c r="BR70" i="11"/>
  <c r="BS70" i="11"/>
  <c r="BT70" i="11"/>
  <c r="BU70" i="11"/>
  <c r="CJ69" i="11"/>
  <c r="BQ69" i="11"/>
  <c r="CK69" i="11" s="1"/>
  <c r="BR69" i="11"/>
  <c r="BS69" i="11"/>
  <c r="BT69" i="11"/>
  <c r="BU69" i="11"/>
  <c r="BQ68" i="11"/>
  <c r="CK68" i="11" s="1"/>
  <c r="BR68" i="11"/>
  <c r="BS68" i="11"/>
  <c r="BT68" i="11"/>
  <c r="BU68" i="11"/>
  <c r="CJ67" i="11"/>
  <c r="BQ67" i="11"/>
  <c r="CK67" i="11" s="1"/>
  <c r="BR67" i="11"/>
  <c r="BS67" i="11"/>
  <c r="BT67" i="11"/>
  <c r="BU67" i="11"/>
  <c r="CI66" i="11"/>
  <c r="BQ66" i="11"/>
  <c r="CK66" i="11" s="1"/>
  <c r="BR66" i="11"/>
  <c r="BS66" i="11"/>
  <c r="BT66" i="11"/>
  <c r="BU66" i="11"/>
  <c r="AK2" i="11" l="1"/>
  <c r="AL2" i="11" l="1"/>
  <c r="Q4" i="11"/>
  <c r="Q5" i="11"/>
  <c r="Q7" i="11"/>
  <c r="Q11" i="11"/>
  <c r="Q10" i="11"/>
  <c r="Q12" i="11"/>
  <c r="Q6" i="11"/>
  <c r="Q9" i="11"/>
  <c r="Q8" i="11"/>
  <c r="Q13" i="11"/>
  <c r="Q18" i="11"/>
  <c r="Q19" i="11"/>
  <c r="Q16" i="11"/>
  <c r="Q14" i="11"/>
  <c r="Q20" i="11"/>
  <c r="Q15" i="11"/>
  <c r="Q21" i="11"/>
  <c r="Q23" i="11"/>
  <c r="Q22" i="11"/>
  <c r="Q26" i="11"/>
  <c r="Q25" i="11"/>
  <c r="Q24" i="11"/>
  <c r="Q31" i="11"/>
  <c r="Q27" i="11"/>
  <c r="Q29" i="11"/>
  <c r="Q28" i="11"/>
  <c r="Q30" i="11"/>
  <c r="Q32" i="11"/>
  <c r="Q34" i="11"/>
  <c r="Q33" i="11"/>
  <c r="Q36" i="11"/>
  <c r="Q35" i="11"/>
  <c r="Q37" i="11"/>
  <c r="Q41" i="11"/>
  <c r="Q43" i="11"/>
  <c r="Q38" i="11"/>
  <c r="Q40" i="11"/>
  <c r="Q42" i="11"/>
  <c r="Q39" i="11"/>
  <c r="Q44" i="11"/>
  <c r="Q45" i="11"/>
  <c r="Q46" i="11"/>
  <c r="Q48" i="11"/>
  <c r="Q47" i="11"/>
  <c r="Q49" i="11"/>
  <c r="Q51" i="11"/>
  <c r="Q50" i="11"/>
  <c r="Q52" i="11"/>
  <c r="Q53" i="11"/>
  <c r="Q54" i="11"/>
  <c r="Q57" i="11"/>
  <c r="BU58" i="11" l="1"/>
  <c r="BT58" i="11"/>
  <c r="CN58" i="11" s="1"/>
  <c r="BS58" i="11"/>
  <c r="CM58" i="11" s="1"/>
  <c r="BR58" i="11"/>
  <c r="CL58" i="11" s="1"/>
  <c r="BQ58" i="11"/>
  <c r="CK58" i="11" s="1"/>
  <c r="BP58" i="11"/>
  <c r="CJ58" i="11" s="1"/>
  <c r="BO58" i="11"/>
  <c r="CI58" i="11" s="1"/>
  <c r="BK47" i="11"/>
  <c r="BJ47" i="11"/>
  <c r="BI47" i="11"/>
  <c r="BG47" i="11"/>
  <c r="BF47" i="11"/>
  <c r="BE47" i="11"/>
  <c r="BD47" i="11"/>
  <c r="BC47" i="11"/>
  <c r="BK12" i="11"/>
  <c r="BJ12" i="11"/>
  <c r="BI12" i="11"/>
  <c r="BH12" i="11"/>
  <c r="BG12" i="11"/>
  <c r="BF12" i="11"/>
  <c r="BE12" i="11"/>
  <c r="BD12" i="11"/>
  <c r="BC12" i="11"/>
  <c r="BK41" i="11"/>
  <c r="BJ41" i="11"/>
  <c r="BI41" i="11"/>
  <c r="BG41" i="11"/>
  <c r="BF41" i="11"/>
  <c r="BE41" i="11"/>
  <c r="BD41" i="11"/>
  <c r="BC41" i="11"/>
  <c r="BK2" i="11"/>
  <c r="BJ2" i="11"/>
  <c r="BI2" i="11"/>
  <c r="BH2" i="11"/>
  <c r="BK59" i="11"/>
  <c r="BJ59" i="11"/>
  <c r="BI59" i="11"/>
  <c r="BK51" i="11"/>
  <c r="BJ51" i="11"/>
  <c r="BI51" i="11"/>
  <c r="BG51" i="11"/>
  <c r="BF51" i="11"/>
  <c r="BE51" i="11"/>
  <c r="BD51" i="11"/>
  <c r="BC51" i="11"/>
  <c r="BK23" i="11"/>
  <c r="BJ23" i="11"/>
  <c r="BI23" i="11"/>
  <c r="BH23" i="11"/>
  <c r="BG23" i="11"/>
  <c r="BF23" i="11"/>
  <c r="BE23" i="11"/>
  <c r="BD23" i="11"/>
  <c r="BC23" i="11"/>
  <c r="BK22" i="11"/>
  <c r="BJ22" i="11"/>
  <c r="BI22" i="11"/>
  <c r="BH22" i="11"/>
  <c r="BG22" i="11"/>
  <c r="BF22" i="11"/>
  <c r="BE22" i="11"/>
  <c r="BD22" i="11"/>
  <c r="BC22" i="11"/>
  <c r="BK21" i="11"/>
  <c r="BJ21" i="11"/>
  <c r="BI21" i="11"/>
  <c r="BH21" i="11"/>
  <c r="BG21" i="11"/>
  <c r="BF21" i="11"/>
  <c r="BE21" i="11"/>
  <c r="BD21" i="11"/>
  <c r="BC21" i="11"/>
  <c r="BK20" i="11"/>
  <c r="BJ20" i="11"/>
  <c r="BI20" i="11"/>
  <c r="BH20" i="11"/>
  <c r="BG20" i="11"/>
  <c r="BF20" i="11"/>
  <c r="BE20" i="11"/>
  <c r="BD20" i="11"/>
  <c r="BC20" i="11"/>
  <c r="BK57" i="11"/>
  <c r="BJ57" i="11"/>
  <c r="BI57" i="11"/>
  <c r="BK32" i="11"/>
  <c r="BJ32" i="11"/>
  <c r="BI32" i="11"/>
  <c r="BG32" i="11"/>
  <c r="BF32" i="11"/>
  <c r="BE32" i="11"/>
  <c r="BD32" i="11"/>
  <c r="BC32" i="11"/>
  <c r="BK44" i="11"/>
  <c r="BJ44" i="11"/>
  <c r="BI44" i="11"/>
  <c r="BG44" i="11"/>
  <c r="BF44" i="11"/>
  <c r="BE44" i="11"/>
  <c r="BD44" i="11"/>
  <c r="BC44" i="11"/>
  <c r="BK30" i="11"/>
  <c r="BJ30" i="11"/>
  <c r="BI30" i="11"/>
  <c r="BG30" i="11"/>
  <c r="BF30" i="11"/>
  <c r="BE30" i="11"/>
  <c r="BD30" i="11"/>
  <c r="BC30" i="11"/>
  <c r="BK7" i="11"/>
  <c r="BJ7" i="11"/>
  <c r="BI7" i="11"/>
  <c r="BH7" i="11"/>
  <c r="BG7" i="11"/>
  <c r="BF7" i="11"/>
  <c r="BE7" i="11"/>
  <c r="BD7" i="11"/>
  <c r="BC7" i="11"/>
  <c r="CB7" i="11" s="1"/>
  <c r="BK5" i="11"/>
  <c r="BJ5" i="11"/>
  <c r="BI5" i="11"/>
  <c r="BH5" i="11"/>
  <c r="BG5" i="11"/>
  <c r="BF5" i="11"/>
  <c r="BE5" i="11"/>
  <c r="BD5" i="11"/>
  <c r="BC5" i="11"/>
  <c r="BK6" i="11"/>
  <c r="BJ6" i="11"/>
  <c r="BI6" i="11"/>
  <c r="BH6" i="11"/>
  <c r="BC6" i="11"/>
  <c r="BK3" i="11"/>
  <c r="BJ3" i="11"/>
  <c r="BI3" i="11"/>
  <c r="BH3" i="11"/>
  <c r="BC3" i="11"/>
  <c r="BK4" i="11"/>
  <c r="BJ4" i="11"/>
  <c r="BI4" i="11"/>
  <c r="BH4" i="11"/>
  <c r="BG4" i="11"/>
  <c r="BF4" i="11"/>
  <c r="BE4" i="11"/>
  <c r="BD4" i="11"/>
  <c r="BC4" i="11"/>
  <c r="BK11" i="11"/>
  <c r="BJ11" i="11"/>
  <c r="BI11" i="11"/>
  <c r="BH11" i="11"/>
  <c r="BG11" i="11"/>
  <c r="BF11" i="11"/>
  <c r="BE11" i="11"/>
  <c r="BD11" i="11"/>
  <c r="BC11" i="11"/>
  <c r="BK10" i="11"/>
  <c r="BJ10" i="11"/>
  <c r="BI10" i="11"/>
  <c r="BH10" i="11"/>
  <c r="BG10" i="11"/>
  <c r="BF10" i="11"/>
  <c r="BE10" i="11"/>
  <c r="BD10" i="11"/>
  <c r="BC10" i="11"/>
  <c r="BK9" i="11"/>
  <c r="BJ9" i="11"/>
  <c r="BI9" i="11"/>
  <c r="BH9" i="11"/>
  <c r="BG9" i="11"/>
  <c r="BF9" i="11"/>
  <c r="BE9" i="11"/>
  <c r="BD9" i="11"/>
  <c r="BC9" i="11"/>
  <c r="BK8" i="11"/>
  <c r="BJ8" i="11"/>
  <c r="BI8" i="11"/>
  <c r="BH8" i="11"/>
  <c r="BG8" i="11"/>
  <c r="BF8" i="11"/>
  <c r="BE8" i="11"/>
  <c r="BD8" i="11"/>
  <c r="BC8" i="11"/>
  <c r="BK13" i="11"/>
  <c r="BJ13" i="11"/>
  <c r="BI13" i="11"/>
  <c r="BH13" i="11"/>
  <c r="BC13" i="11"/>
  <c r="BK14" i="11"/>
  <c r="BJ14" i="11"/>
  <c r="BI14" i="11"/>
  <c r="BH14" i="11"/>
  <c r="BG14" i="11"/>
  <c r="BF14" i="11"/>
  <c r="BE14" i="11"/>
  <c r="BD14" i="11"/>
  <c r="BC14" i="11"/>
  <c r="BK56" i="11"/>
  <c r="BJ56" i="11"/>
  <c r="BI56" i="11"/>
  <c r="BK46" i="11"/>
  <c r="BJ46" i="11"/>
  <c r="BI46" i="11"/>
  <c r="BC46" i="11"/>
  <c r="BK55" i="11"/>
  <c r="BJ55" i="11"/>
  <c r="BI55" i="11"/>
  <c r="BK50" i="11"/>
  <c r="BJ50" i="11"/>
  <c r="BI50" i="11"/>
  <c r="BG50" i="11"/>
  <c r="BF50" i="11"/>
  <c r="BE50" i="11"/>
  <c r="BD50" i="11"/>
  <c r="BC50" i="11"/>
  <c r="BK53" i="11"/>
  <c r="BJ53" i="11"/>
  <c r="BI53" i="11"/>
  <c r="BK48" i="11"/>
  <c r="BJ48" i="11"/>
  <c r="BI48" i="11"/>
  <c r="BG48" i="11"/>
  <c r="BF48" i="11"/>
  <c r="BE48" i="11"/>
  <c r="BD48" i="11"/>
  <c r="BC48" i="11"/>
  <c r="BK49" i="11"/>
  <c r="BJ49" i="11"/>
  <c r="BI49" i="11"/>
  <c r="BG49" i="11"/>
  <c r="BF49" i="11"/>
  <c r="BE49" i="11"/>
  <c r="BD49" i="11"/>
  <c r="BC49" i="11"/>
  <c r="BK52" i="11"/>
  <c r="BJ52" i="11"/>
  <c r="BI52" i="11"/>
  <c r="BG52" i="11"/>
  <c r="BF52" i="11"/>
  <c r="BE52" i="11"/>
  <c r="BD52" i="11"/>
  <c r="BC52" i="11"/>
  <c r="BK54" i="11"/>
  <c r="BJ54" i="11"/>
  <c r="BI54" i="11"/>
  <c r="BK43" i="11"/>
  <c r="BJ43" i="11"/>
  <c r="BI43" i="11"/>
  <c r="BG43" i="11"/>
  <c r="BF43" i="11"/>
  <c r="BE43" i="11"/>
  <c r="BD43" i="11"/>
  <c r="BC43" i="11"/>
  <c r="BK45" i="11"/>
  <c r="BJ45" i="11"/>
  <c r="BI45" i="11"/>
  <c r="BG45" i="11"/>
  <c r="BE45" i="11"/>
  <c r="BD45" i="11"/>
  <c r="BC45" i="11"/>
  <c r="BK40" i="11"/>
  <c r="BJ40" i="11"/>
  <c r="BI40" i="11"/>
  <c r="BG40" i="11"/>
  <c r="BF40" i="11"/>
  <c r="BE40" i="11"/>
  <c r="BD40" i="11"/>
  <c r="BC40" i="11"/>
  <c r="BK31" i="11"/>
  <c r="BJ31" i="11"/>
  <c r="BI31" i="11"/>
  <c r="BG31" i="11"/>
  <c r="BF31" i="11"/>
  <c r="BE31" i="11"/>
  <c r="BD31" i="11"/>
  <c r="BC31" i="11"/>
  <c r="BK27" i="11"/>
  <c r="BJ27" i="11"/>
  <c r="BI27" i="11"/>
  <c r="BH27" i="11"/>
  <c r="BG27" i="11"/>
  <c r="BF27" i="11"/>
  <c r="BE27" i="11"/>
  <c r="BD27" i="11"/>
  <c r="BC27" i="11"/>
  <c r="BK26" i="11"/>
  <c r="BJ26" i="11"/>
  <c r="BI26" i="11"/>
  <c r="BH26" i="11"/>
  <c r="BG26" i="11"/>
  <c r="BF26" i="11"/>
  <c r="BE26" i="11"/>
  <c r="BD26" i="11"/>
  <c r="BC26" i="11"/>
  <c r="BK42" i="11"/>
  <c r="BJ42" i="11"/>
  <c r="BI42" i="11"/>
  <c r="BG42" i="11"/>
  <c r="BF42" i="11"/>
  <c r="BE42" i="11"/>
  <c r="BD42" i="11"/>
  <c r="BC42" i="11"/>
  <c r="BK28" i="11"/>
  <c r="BJ28" i="11"/>
  <c r="BI28" i="11"/>
  <c r="BH28" i="11"/>
  <c r="BG28" i="11"/>
  <c r="BF28" i="11"/>
  <c r="BE28" i="11"/>
  <c r="BD28" i="11"/>
  <c r="BC28" i="11"/>
  <c r="BK39" i="11"/>
  <c r="BJ39" i="11"/>
  <c r="BI39" i="11"/>
  <c r="BG39" i="11"/>
  <c r="BF39" i="11"/>
  <c r="BE39" i="11"/>
  <c r="BD39" i="11"/>
  <c r="BC39" i="11"/>
  <c r="BK29" i="11"/>
  <c r="BJ29" i="11"/>
  <c r="BI29" i="11"/>
  <c r="BG29" i="11"/>
  <c r="BF29" i="11"/>
  <c r="BE29" i="11"/>
  <c r="BD29" i="11"/>
  <c r="BC29" i="11"/>
  <c r="CB29" i="11" s="1"/>
  <c r="BK25" i="11"/>
  <c r="BJ25" i="11"/>
  <c r="BI25" i="11"/>
  <c r="BH25" i="11"/>
  <c r="BG25" i="11"/>
  <c r="BF25" i="11"/>
  <c r="BE25" i="11"/>
  <c r="BD25" i="11"/>
  <c r="BC25" i="11"/>
  <c r="BK18" i="11"/>
  <c r="BJ18" i="11"/>
  <c r="BI18" i="11"/>
  <c r="BH18" i="11"/>
  <c r="BG18" i="11"/>
  <c r="BF18" i="11"/>
  <c r="BE18" i="11"/>
  <c r="BD18" i="11"/>
  <c r="BC18" i="11"/>
  <c r="BK16" i="11"/>
  <c r="BJ16" i="11"/>
  <c r="BI16" i="11"/>
  <c r="BH16" i="11"/>
  <c r="BG16" i="11"/>
  <c r="BF16" i="11"/>
  <c r="BE16" i="11"/>
  <c r="BD16" i="11"/>
  <c r="BC16" i="11"/>
  <c r="BK17" i="11"/>
  <c r="BJ17" i="11"/>
  <c r="BI17" i="11"/>
  <c r="BH17" i="11"/>
  <c r="BG17" i="11"/>
  <c r="BF17" i="11"/>
  <c r="BE17" i="11"/>
  <c r="BD17" i="11"/>
  <c r="BC17" i="11"/>
  <c r="BK35" i="11"/>
  <c r="BJ35" i="11"/>
  <c r="BI35" i="11"/>
  <c r="BG35" i="11"/>
  <c r="BF35" i="11"/>
  <c r="BE35" i="11"/>
  <c r="BD35" i="11"/>
  <c r="BC35" i="11"/>
  <c r="BK38" i="11"/>
  <c r="BJ38" i="11"/>
  <c r="BI38" i="11"/>
  <c r="BG38" i="11"/>
  <c r="BF38" i="11"/>
  <c r="BE38" i="11"/>
  <c r="BD38" i="11"/>
  <c r="BC38" i="11"/>
  <c r="BK15" i="11"/>
  <c r="BJ15" i="11"/>
  <c r="BI15" i="11"/>
  <c r="BH15" i="11"/>
  <c r="BG15" i="11"/>
  <c r="BF15" i="11"/>
  <c r="BE15" i="11"/>
  <c r="BD15" i="11"/>
  <c r="BC15" i="11"/>
  <c r="BK19" i="11"/>
  <c r="BJ19" i="11"/>
  <c r="BI19" i="11"/>
  <c r="BH19" i="11"/>
  <c r="BG19" i="11"/>
  <c r="BF19" i="11"/>
  <c r="BE19" i="11"/>
  <c r="BD19" i="11"/>
  <c r="BC19" i="11"/>
  <c r="BK37" i="11"/>
  <c r="BJ37" i="11"/>
  <c r="BI37" i="11"/>
  <c r="BG37" i="11"/>
  <c r="BF37" i="11"/>
  <c r="BE37" i="11"/>
  <c r="BD37" i="11"/>
  <c r="BC37" i="11"/>
  <c r="BK36" i="11"/>
  <c r="BJ36" i="11"/>
  <c r="BI36" i="11"/>
  <c r="BG36" i="11"/>
  <c r="BF36" i="11"/>
  <c r="BE36" i="11"/>
  <c r="BD36" i="11"/>
  <c r="BC36" i="11"/>
  <c r="BK34" i="11"/>
  <c r="BJ34" i="11"/>
  <c r="BI34" i="11"/>
  <c r="BG34" i="11"/>
  <c r="BF34" i="11"/>
  <c r="BE34" i="11"/>
  <c r="BD34" i="11"/>
  <c r="BC34" i="11"/>
  <c r="BK24" i="11"/>
  <c r="BJ24" i="11"/>
  <c r="BI24" i="11"/>
  <c r="BH24" i="11"/>
  <c r="BG24" i="11"/>
  <c r="BF24" i="11"/>
  <c r="BE24" i="11"/>
  <c r="BD24" i="11"/>
  <c r="BC24" i="11"/>
  <c r="BK33" i="11"/>
  <c r="BJ33" i="11"/>
  <c r="BI33" i="11"/>
  <c r="BC33" i="11"/>
  <c r="AK1" i="11"/>
  <c r="CB14" i="11" l="1"/>
  <c r="CB10" i="11"/>
  <c r="CB20" i="11"/>
  <c r="CB24" i="11"/>
  <c r="CB35" i="11"/>
  <c r="CA45" i="11"/>
  <c r="BD53" i="11"/>
  <c r="BD13" i="11"/>
  <c r="BN13" i="11" s="1"/>
  <c r="CH13" i="11" s="1"/>
  <c r="AL1" i="11"/>
  <c r="BD46" i="11"/>
  <c r="CA47" i="11"/>
  <c r="BZ50" i="11"/>
  <c r="CA39" i="11"/>
  <c r="CA42" i="11"/>
  <c r="CA40" i="11"/>
  <c r="CA44" i="11"/>
  <c r="CA41" i="11"/>
  <c r="BD6" i="11"/>
  <c r="BD3" i="11"/>
  <c r="BE33" i="11"/>
  <c r="BE3" i="11"/>
  <c r="BN4" i="11"/>
  <c r="CH4" i="11" s="1"/>
  <c r="BE6" i="11"/>
  <c r="BT26" i="11"/>
  <c r="BN34" i="11"/>
  <c r="CH34" i="11" s="1"/>
  <c r="BF13" i="11"/>
  <c r="BT22" i="11"/>
  <c r="BT12" i="11"/>
  <c r="BT31" i="11"/>
  <c r="BQ7" i="11"/>
  <c r="CK7" i="11" s="1"/>
  <c r="BT51" i="11"/>
  <c r="BU16" i="11"/>
  <c r="CO16" i="11" s="1"/>
  <c r="BO28" i="11"/>
  <c r="CI28" i="11" s="1"/>
  <c r="BO45" i="11"/>
  <c r="CI45" i="11" s="1"/>
  <c r="BU11" i="11"/>
  <c r="BT23" i="11"/>
  <c r="BT59" i="11"/>
  <c r="CN59" i="11" s="1"/>
  <c r="BN41" i="11"/>
  <c r="CH41" i="11" s="1"/>
  <c r="BO15" i="11"/>
  <c r="CI15" i="11" s="1"/>
  <c r="BU35" i="11"/>
  <c r="CO35" i="11" s="1"/>
  <c r="BO35" i="11"/>
  <c r="CI35" i="11" s="1"/>
  <c r="BO9" i="11"/>
  <c r="CI9" i="11" s="1"/>
  <c r="BN43" i="11"/>
  <c r="CH43" i="11" s="1"/>
  <c r="BO54" i="11"/>
  <c r="CI54" i="11" s="1"/>
  <c r="BT56" i="11"/>
  <c r="CN56" i="11" s="1"/>
  <c r="BS14" i="11"/>
  <c r="BP7" i="11"/>
  <c r="CJ7" i="11" s="1"/>
  <c r="BS30" i="11"/>
  <c r="BT44" i="11"/>
  <c r="BP44" i="11"/>
  <c r="CJ44" i="11" s="1"/>
  <c r="BP12" i="11"/>
  <c r="CJ12" i="11" s="1"/>
  <c r="BU9" i="11"/>
  <c r="CO9" i="11" s="1"/>
  <c r="BQ10" i="11"/>
  <c r="CK10" i="11" s="1"/>
  <c r="BU36" i="11"/>
  <c r="CO36" i="11" s="1"/>
  <c r="BT28" i="11"/>
  <c r="BO31" i="11"/>
  <c r="CI31" i="11" s="1"/>
  <c r="BR52" i="11"/>
  <c r="BR48" i="11"/>
  <c r="BR50" i="11"/>
  <c r="CL50" i="11" s="1"/>
  <c r="BU18" i="11"/>
  <c r="CO18" i="11" s="1"/>
  <c r="BU29" i="11"/>
  <c r="CO29" i="11" s="1"/>
  <c r="BO26" i="11"/>
  <c r="CI26" i="11" s="1"/>
  <c r="BT45" i="11"/>
  <c r="BT54" i="11"/>
  <c r="BT49" i="11"/>
  <c r="BT55" i="11"/>
  <c r="CN55" i="11" s="1"/>
  <c r="BS56" i="11"/>
  <c r="CM56" i="11" s="1"/>
  <c r="BT9" i="11"/>
  <c r="BS5" i="11"/>
  <c r="BU41" i="11"/>
  <c r="CO41" i="11" s="1"/>
  <c r="BD33" i="11"/>
  <c r="BU15" i="11"/>
  <c r="BP28" i="11"/>
  <c r="CJ28" i="11" s="1"/>
  <c r="BU42" i="11"/>
  <c r="CO42" i="11" s="1"/>
  <c r="BP26" i="11"/>
  <c r="CJ26" i="11" s="1"/>
  <c r="BU27" i="11"/>
  <c r="CO27" i="11" s="1"/>
  <c r="BP31" i="11"/>
  <c r="CJ31" i="11" s="1"/>
  <c r="BU40" i="11"/>
  <c r="CO40" i="11" s="1"/>
  <c r="BP45" i="11"/>
  <c r="CJ45" i="11" s="1"/>
  <c r="BU43" i="11"/>
  <c r="CO43" i="11" s="1"/>
  <c r="BT52" i="11"/>
  <c r="BT48" i="11"/>
  <c r="BT50" i="11"/>
  <c r="BQ14" i="11"/>
  <c r="CK14" i="11" s="1"/>
  <c r="BS8" i="11"/>
  <c r="BS10" i="11"/>
  <c r="BU38" i="11"/>
  <c r="CO38" i="11" s="1"/>
  <c r="BQ38" i="11"/>
  <c r="CK38" i="11" s="1"/>
  <c r="BU17" i="11"/>
  <c r="CO17" i="11" s="1"/>
  <c r="BS15" i="11"/>
  <c r="BU19" i="11"/>
  <c r="BT24" i="11"/>
  <c r="BO34" i="11"/>
  <c r="CI34" i="11" s="1"/>
  <c r="BO37" i="11"/>
  <c r="CI37" i="11" s="1"/>
  <c r="BQ19" i="11"/>
  <c r="CK19" i="11" s="1"/>
  <c r="BP24" i="11"/>
  <c r="CJ24" i="11" s="1"/>
  <c r="BU24" i="11"/>
  <c r="CO24" i="11" s="1"/>
  <c r="BU34" i="11"/>
  <c r="CO34" i="11" s="1"/>
  <c r="BQ34" i="11"/>
  <c r="CK34" i="11" s="1"/>
  <c r="BT34" i="11"/>
  <c r="BP34" i="11"/>
  <c r="CJ34" i="11" s="1"/>
  <c r="BR34" i="11"/>
  <c r="CL34" i="11" s="1"/>
  <c r="BS36" i="11"/>
  <c r="BO36" i="11"/>
  <c r="CI36" i="11" s="1"/>
  <c r="BR36" i="11"/>
  <c r="BN36" i="11"/>
  <c r="CH36" i="11" s="1"/>
  <c r="BT36" i="11"/>
  <c r="BU37" i="11"/>
  <c r="CO37" i="11" s="1"/>
  <c r="BR37" i="11"/>
  <c r="BS19" i="11"/>
  <c r="BO19" i="11"/>
  <c r="CI19" i="11" s="1"/>
  <c r="BR19" i="11"/>
  <c r="CL19" i="11" s="1"/>
  <c r="BN19" i="11"/>
  <c r="CH19" i="11" s="1"/>
  <c r="BT19" i="11"/>
  <c r="BS35" i="11"/>
  <c r="BS37" i="11"/>
  <c r="BS24" i="11"/>
  <c r="BO24" i="11"/>
  <c r="CI24" i="11" s="1"/>
  <c r="BQ24" i="11"/>
  <c r="CK24" i="11" s="1"/>
  <c r="BS34" i="11"/>
  <c r="BR24" i="11"/>
  <c r="CL24" i="11" s="1"/>
  <c r="BP36" i="11"/>
  <c r="CJ36" i="11" s="1"/>
  <c r="BN37" i="11"/>
  <c r="CH37" i="11" s="1"/>
  <c r="BP19" i="11"/>
  <c r="CJ19" i="11" s="1"/>
  <c r="BN24" i="11"/>
  <c r="CH24" i="11" s="1"/>
  <c r="BQ36" i="11"/>
  <c r="CK36" i="11" s="1"/>
  <c r="BQ17" i="11"/>
  <c r="CK17" i="11" s="1"/>
  <c r="BO16" i="11"/>
  <c r="CI16" i="11" s="1"/>
  <c r="BS16" i="11"/>
  <c r="BQ18" i="11"/>
  <c r="CK18" i="11" s="1"/>
  <c r="BO25" i="11"/>
  <c r="CI25" i="11" s="1"/>
  <c r="BS25" i="11"/>
  <c r="BQ29" i="11"/>
  <c r="CK29" i="11" s="1"/>
  <c r="BS39" i="11"/>
  <c r="BO39" i="11"/>
  <c r="CI39" i="11" s="1"/>
  <c r="BQ39" i="11"/>
  <c r="CK39" i="11" s="1"/>
  <c r="BN42" i="11"/>
  <c r="CH42" i="11" s="1"/>
  <c r="BN27" i="11"/>
  <c r="CH27" i="11" s="1"/>
  <c r="BN40" i="11"/>
  <c r="CH40" i="11" s="1"/>
  <c r="BT37" i="11"/>
  <c r="BT15" i="11"/>
  <c r="BR38" i="11"/>
  <c r="CL38" i="11" s="1"/>
  <c r="BT35" i="11"/>
  <c r="BN17" i="11"/>
  <c r="CH17" i="11" s="1"/>
  <c r="BR17" i="11"/>
  <c r="CL17" i="11" s="1"/>
  <c r="BP16" i="11"/>
  <c r="CJ16" i="11" s="1"/>
  <c r="BT16" i="11"/>
  <c r="BN18" i="11"/>
  <c r="CH18" i="11" s="1"/>
  <c r="BR18" i="11"/>
  <c r="CL18" i="11" s="1"/>
  <c r="BP25" i="11"/>
  <c r="CJ25" i="11" s="1"/>
  <c r="BT25" i="11"/>
  <c r="BN29" i="11"/>
  <c r="CH29" i="11" s="1"/>
  <c r="BR29" i="11"/>
  <c r="CL29" i="11" s="1"/>
  <c r="BR39" i="11"/>
  <c r="CL39" i="11" s="1"/>
  <c r="BQ42" i="11"/>
  <c r="CK42" i="11" s="1"/>
  <c r="BQ27" i="11"/>
  <c r="CK27" i="11" s="1"/>
  <c r="BQ40" i="11"/>
  <c r="CK40" i="11" s="1"/>
  <c r="BQ43" i="11"/>
  <c r="CK43" i="11" s="1"/>
  <c r="BP37" i="11"/>
  <c r="CJ37" i="11" s="1"/>
  <c r="BP15" i="11"/>
  <c r="CJ15" i="11" s="1"/>
  <c r="BN38" i="11"/>
  <c r="CH38" i="11" s="1"/>
  <c r="BP35" i="11"/>
  <c r="CJ35" i="11" s="1"/>
  <c r="BQ37" i="11"/>
  <c r="CK37" i="11" s="1"/>
  <c r="BQ15" i="11"/>
  <c r="CK15" i="11" s="1"/>
  <c r="BO38" i="11"/>
  <c r="CI38" i="11" s="1"/>
  <c r="BS38" i="11"/>
  <c r="BQ35" i="11"/>
  <c r="CK35" i="11" s="1"/>
  <c r="BO17" i="11"/>
  <c r="CI17" i="11" s="1"/>
  <c r="BS17" i="11"/>
  <c r="BQ16" i="11"/>
  <c r="CK16" i="11" s="1"/>
  <c r="BO18" i="11"/>
  <c r="CI18" i="11" s="1"/>
  <c r="BS18" i="11"/>
  <c r="BQ25" i="11"/>
  <c r="CK25" i="11" s="1"/>
  <c r="BU25" i="11"/>
  <c r="CO25" i="11" s="1"/>
  <c r="BO29" i="11"/>
  <c r="CI29" i="11" s="1"/>
  <c r="BS29" i="11"/>
  <c r="BN39" i="11"/>
  <c r="CH39" i="11" s="1"/>
  <c r="BT39" i="11"/>
  <c r="BR28" i="11"/>
  <c r="CL28" i="11" s="1"/>
  <c r="BN28" i="11"/>
  <c r="CH28" i="11" s="1"/>
  <c r="BU28" i="11"/>
  <c r="CO28" i="11" s="1"/>
  <c r="BQ28" i="11"/>
  <c r="CK28" i="11" s="1"/>
  <c r="BS28" i="11"/>
  <c r="BT42" i="11"/>
  <c r="BR42" i="11"/>
  <c r="CL42" i="11" s="1"/>
  <c r="BR26" i="11"/>
  <c r="CL26" i="11" s="1"/>
  <c r="BN26" i="11"/>
  <c r="CH26" i="11" s="1"/>
  <c r="BU26" i="11"/>
  <c r="CO26" i="11" s="1"/>
  <c r="BQ26" i="11"/>
  <c r="CK26" i="11" s="1"/>
  <c r="BS26" i="11"/>
  <c r="BT27" i="11"/>
  <c r="BR27" i="11"/>
  <c r="CL27" i="11" s="1"/>
  <c r="BR31" i="11"/>
  <c r="CL31" i="11" s="1"/>
  <c r="BN31" i="11"/>
  <c r="CH31" i="11" s="1"/>
  <c r="BU31" i="11"/>
  <c r="CO31" i="11" s="1"/>
  <c r="BQ31" i="11"/>
  <c r="CK31" i="11" s="1"/>
  <c r="BS31" i="11"/>
  <c r="BT40" i="11"/>
  <c r="BR40" i="11"/>
  <c r="BR45" i="11"/>
  <c r="BN45" i="11"/>
  <c r="CH45" i="11" s="1"/>
  <c r="BU45" i="11"/>
  <c r="BQ45" i="11"/>
  <c r="CK45" i="11" s="1"/>
  <c r="BS45" i="11"/>
  <c r="BT43" i="11"/>
  <c r="BN15" i="11"/>
  <c r="CH15" i="11" s="1"/>
  <c r="BR15" i="11"/>
  <c r="CL15" i="11" s="1"/>
  <c r="BP38" i="11"/>
  <c r="CJ38" i="11" s="1"/>
  <c r="BT38" i="11"/>
  <c r="BN35" i="11"/>
  <c r="CH35" i="11" s="1"/>
  <c r="BR35" i="11"/>
  <c r="CL35" i="11" s="1"/>
  <c r="BP17" i="11"/>
  <c r="CJ17" i="11" s="1"/>
  <c r="BT17" i="11"/>
  <c r="BN16" i="11"/>
  <c r="CH16" i="11" s="1"/>
  <c r="BR16" i="11"/>
  <c r="CL16" i="11" s="1"/>
  <c r="BP18" i="11"/>
  <c r="CJ18" i="11" s="1"/>
  <c r="BT18" i="11"/>
  <c r="BN25" i="11"/>
  <c r="CH25" i="11" s="1"/>
  <c r="BR25" i="11"/>
  <c r="BP29" i="11"/>
  <c r="CJ29" i="11" s="1"/>
  <c r="BT29" i="11"/>
  <c r="BP39" i="11"/>
  <c r="CJ39" i="11" s="1"/>
  <c r="BU39" i="11"/>
  <c r="CO39" i="11" s="1"/>
  <c r="BR43" i="11"/>
  <c r="CL43" i="11" s="1"/>
  <c r="BS54" i="11"/>
  <c r="BO42" i="11"/>
  <c r="CI42" i="11" s="1"/>
  <c r="BS42" i="11"/>
  <c r="BO27" i="11"/>
  <c r="CI27" i="11" s="1"/>
  <c r="BS27" i="11"/>
  <c r="BO40" i="11"/>
  <c r="CI40" i="11" s="1"/>
  <c r="BS40" i="11"/>
  <c r="BO43" i="11"/>
  <c r="CI43" i="11" s="1"/>
  <c r="BS43" i="11"/>
  <c r="BQ54" i="11"/>
  <c r="CK54" i="11" s="1"/>
  <c r="BU54" i="11"/>
  <c r="CO54" i="11" s="1"/>
  <c r="BO52" i="11"/>
  <c r="CI52" i="11" s="1"/>
  <c r="BS52" i="11"/>
  <c r="BQ49" i="11"/>
  <c r="CK49" i="11" s="1"/>
  <c r="BU49" i="11"/>
  <c r="CO49" i="11" s="1"/>
  <c r="BO48" i="11"/>
  <c r="CI48" i="11" s="1"/>
  <c r="BS48" i="11"/>
  <c r="BO50" i="11"/>
  <c r="CI50" i="11" s="1"/>
  <c r="BS50" i="11"/>
  <c r="BQ55" i="11"/>
  <c r="CK55" i="11" s="1"/>
  <c r="BU55" i="11"/>
  <c r="CO55" i="11" s="1"/>
  <c r="BQ56" i="11"/>
  <c r="CK56" i="11" s="1"/>
  <c r="BR14" i="11"/>
  <c r="CL14" i="11" s="1"/>
  <c r="BO8" i="11"/>
  <c r="CI8" i="11" s="1"/>
  <c r="BU8" i="11"/>
  <c r="CO8" i="11" s="1"/>
  <c r="BR9" i="11"/>
  <c r="CL9" i="11" s="1"/>
  <c r="BN9" i="11"/>
  <c r="CH9" i="11" s="1"/>
  <c r="BQ9" i="11"/>
  <c r="CK9" i="11" s="1"/>
  <c r="BR10" i="11"/>
  <c r="CL10" i="11" s="1"/>
  <c r="BQ11" i="11"/>
  <c r="CK11" i="11" s="1"/>
  <c r="BR4" i="11"/>
  <c r="CL4" i="11" s="1"/>
  <c r="BP42" i="11"/>
  <c r="CJ42" i="11" s="1"/>
  <c r="BP27" i="11"/>
  <c r="CJ27" i="11" s="1"/>
  <c r="BP40" i="11"/>
  <c r="CJ40" i="11" s="1"/>
  <c r="BP43" i="11"/>
  <c r="CJ43" i="11" s="1"/>
  <c r="BN54" i="11"/>
  <c r="CH54" i="11" s="1"/>
  <c r="BR54" i="11"/>
  <c r="BP52" i="11"/>
  <c r="CJ52" i="11" s="1"/>
  <c r="BN49" i="11"/>
  <c r="CH49" i="11" s="1"/>
  <c r="BR49" i="11"/>
  <c r="CL49" i="11" s="1"/>
  <c r="BP48" i="11"/>
  <c r="CJ48" i="11" s="1"/>
  <c r="BN53" i="11"/>
  <c r="CH53" i="11" s="1"/>
  <c r="BP50" i="11"/>
  <c r="CJ50" i="11" s="1"/>
  <c r="BN55" i="11"/>
  <c r="CH55" i="11" s="1"/>
  <c r="BR55" i="11"/>
  <c r="CL55" i="11" s="1"/>
  <c r="BN56" i="11"/>
  <c r="CH56" i="11" s="1"/>
  <c r="BN14" i="11"/>
  <c r="CH14" i="11" s="1"/>
  <c r="BT8" i="11"/>
  <c r="BQ8" i="11"/>
  <c r="CK8" i="11" s="1"/>
  <c r="BS9" i="11"/>
  <c r="BN10" i="11"/>
  <c r="CH10" i="11" s="1"/>
  <c r="BQ52" i="11"/>
  <c r="CK52" i="11" s="1"/>
  <c r="BU52" i="11"/>
  <c r="BO49" i="11"/>
  <c r="CI49" i="11" s="1"/>
  <c r="BS49" i="11"/>
  <c r="BQ48" i="11"/>
  <c r="CK48" i="11" s="1"/>
  <c r="BU48" i="11"/>
  <c r="CO48" i="11" s="1"/>
  <c r="BQ50" i="11"/>
  <c r="CK50" i="11" s="1"/>
  <c r="BU50" i="11"/>
  <c r="BO55" i="11"/>
  <c r="CI55" i="11" s="1"/>
  <c r="BS55" i="11"/>
  <c r="CM55" i="11" s="1"/>
  <c r="BO56" i="11"/>
  <c r="CI56" i="11" s="1"/>
  <c r="BO14" i="11"/>
  <c r="CI14" i="11" s="1"/>
  <c r="BU14" i="11"/>
  <c r="CO14" i="11" s="1"/>
  <c r="BR8" i="11"/>
  <c r="CL8" i="11" s="1"/>
  <c r="BO10" i="11"/>
  <c r="CI10" i="11" s="1"/>
  <c r="BU10" i="11"/>
  <c r="CO10" i="11" s="1"/>
  <c r="BT11" i="11"/>
  <c r="BP11" i="11"/>
  <c r="CJ11" i="11" s="1"/>
  <c r="BS11" i="11"/>
  <c r="BO11" i="11"/>
  <c r="CI11" i="11" s="1"/>
  <c r="BR11" i="11"/>
  <c r="CL11" i="11" s="1"/>
  <c r="BN11" i="11"/>
  <c r="CH11" i="11" s="1"/>
  <c r="BS4" i="11"/>
  <c r="BO4" i="11"/>
  <c r="CI4" i="11" s="1"/>
  <c r="BP54" i="11"/>
  <c r="CJ54" i="11" s="1"/>
  <c r="BN52" i="11"/>
  <c r="CH52" i="11" s="1"/>
  <c r="BP49" i="11"/>
  <c r="CJ49" i="11" s="1"/>
  <c r="BN48" i="11"/>
  <c r="CH48" i="11" s="1"/>
  <c r="BN50" i="11"/>
  <c r="CH50" i="11" s="1"/>
  <c r="BP55" i="11"/>
  <c r="CJ55" i="11" s="1"/>
  <c r="BN46" i="11"/>
  <c r="CH46" i="11" s="1"/>
  <c r="BR56" i="11"/>
  <c r="CL56" i="11" s="1"/>
  <c r="BP56" i="11"/>
  <c r="CJ56" i="11" s="1"/>
  <c r="BU56" i="11"/>
  <c r="BT14" i="11"/>
  <c r="BN8" i="11"/>
  <c r="CH8" i="11" s="1"/>
  <c r="BP9" i="11"/>
  <c r="CJ9" i="11" s="1"/>
  <c r="BT10" i="11"/>
  <c r="BT4" i="11"/>
  <c r="BN5" i="11"/>
  <c r="CH5" i="11" s="1"/>
  <c r="BN30" i="11"/>
  <c r="CH30" i="11" s="1"/>
  <c r="BP14" i="11"/>
  <c r="CJ14" i="11" s="1"/>
  <c r="BP8" i="11"/>
  <c r="CJ8" i="11" s="1"/>
  <c r="BP10" i="11"/>
  <c r="CJ10" i="11" s="1"/>
  <c r="BP4" i="11"/>
  <c r="CJ4" i="11" s="1"/>
  <c r="BN3" i="11"/>
  <c r="CH3" i="11" s="1"/>
  <c r="BN6" i="11"/>
  <c r="CH6" i="11" s="1"/>
  <c r="BO5" i="11"/>
  <c r="CI5" i="11" s="1"/>
  <c r="BT5" i="11"/>
  <c r="BO30" i="11"/>
  <c r="CI30" i="11" s="1"/>
  <c r="BT32" i="11"/>
  <c r="BQ4" i="11"/>
  <c r="CK4" i="11" s="1"/>
  <c r="BU4" i="11"/>
  <c r="BU5" i="11"/>
  <c r="BQ5" i="11"/>
  <c r="CK5" i="11" s="1"/>
  <c r="BP5" i="11"/>
  <c r="CJ5" i="11" s="1"/>
  <c r="BS7" i="11"/>
  <c r="BO7" i="11"/>
  <c r="CI7" i="11" s="1"/>
  <c r="BR7" i="11"/>
  <c r="CL7" i="11" s="1"/>
  <c r="BN7" i="11"/>
  <c r="CH7" i="11" s="1"/>
  <c r="BT7" i="11"/>
  <c r="BU30" i="11"/>
  <c r="CO30" i="11" s="1"/>
  <c r="BR30" i="11"/>
  <c r="BU44" i="11"/>
  <c r="CO44" i="11" s="1"/>
  <c r="BQ44" i="11"/>
  <c r="CK44" i="11" s="1"/>
  <c r="BS44" i="11"/>
  <c r="BO44" i="11"/>
  <c r="CI44" i="11" s="1"/>
  <c r="BR44" i="11"/>
  <c r="BN44" i="11"/>
  <c r="CH44" i="11" s="1"/>
  <c r="BO6" i="11"/>
  <c r="CI6" i="11" s="1"/>
  <c r="BR5" i="11"/>
  <c r="CL5" i="11" s="1"/>
  <c r="BU7" i="11"/>
  <c r="CO7" i="11" s="1"/>
  <c r="BP30" i="11"/>
  <c r="CJ30" i="11" s="1"/>
  <c r="BT30" i="11"/>
  <c r="BS32" i="11"/>
  <c r="BU32" i="11"/>
  <c r="CO32" i="11" s="1"/>
  <c r="BP32" i="11"/>
  <c r="CJ32" i="11" s="1"/>
  <c r="BN57" i="11"/>
  <c r="CH57" i="11" s="1"/>
  <c r="BN20" i="11"/>
  <c r="CH20" i="11" s="1"/>
  <c r="BN21" i="11"/>
  <c r="CH21" i="11" s="1"/>
  <c r="BN22" i="11"/>
  <c r="CH22" i="11" s="1"/>
  <c r="BN23" i="11"/>
  <c r="CH23" i="11" s="1"/>
  <c r="BN51" i="11"/>
  <c r="CH51" i="11" s="1"/>
  <c r="BN59" i="11"/>
  <c r="CH59" i="11" s="1"/>
  <c r="BS12" i="11"/>
  <c r="BO12" i="11"/>
  <c r="CI12" i="11" s="1"/>
  <c r="BR12" i="11"/>
  <c r="CL12" i="11" s="1"/>
  <c r="BN12" i="11"/>
  <c r="CH12" i="11" s="1"/>
  <c r="BU12" i="11"/>
  <c r="CO12" i="11" s="1"/>
  <c r="BQ12" i="11"/>
  <c r="CK12" i="11" s="1"/>
  <c r="BR47" i="11"/>
  <c r="BQ30" i="11"/>
  <c r="CK30" i="11" s="1"/>
  <c r="BQ32" i="11"/>
  <c r="CK32" i="11" s="1"/>
  <c r="BP57" i="11"/>
  <c r="CJ57" i="11" s="1"/>
  <c r="BP20" i="11"/>
  <c r="CJ20" i="11" s="1"/>
  <c r="BP21" i="11"/>
  <c r="CJ21" i="11" s="1"/>
  <c r="BP22" i="11"/>
  <c r="CJ22" i="11" s="1"/>
  <c r="BP23" i="11"/>
  <c r="CJ23" i="11" s="1"/>
  <c r="BP51" i="11"/>
  <c r="CJ51" i="11" s="1"/>
  <c r="BP59" i="11"/>
  <c r="CJ59" i="11" s="1"/>
  <c r="BU47" i="11"/>
  <c r="CO47" i="11" s="1"/>
  <c r="BN32" i="11"/>
  <c r="CH32" i="11" s="1"/>
  <c r="BR32" i="11"/>
  <c r="CL32" i="11" s="1"/>
  <c r="BU57" i="11"/>
  <c r="BQ57" i="11"/>
  <c r="CK57" i="11" s="1"/>
  <c r="BS57" i="11"/>
  <c r="CM57" i="11" s="1"/>
  <c r="BO57" i="11"/>
  <c r="CI57" i="11" s="1"/>
  <c r="BR57" i="11"/>
  <c r="CL57" i="11" s="1"/>
  <c r="BS20" i="11"/>
  <c r="BO20" i="11"/>
  <c r="CI20" i="11" s="1"/>
  <c r="BU20" i="11"/>
  <c r="CO20" i="11" s="1"/>
  <c r="BQ20" i="11"/>
  <c r="CK20" i="11" s="1"/>
  <c r="BR20" i="11"/>
  <c r="CL20" i="11" s="1"/>
  <c r="BU21" i="11"/>
  <c r="CO21" i="11" s="1"/>
  <c r="BQ21" i="11"/>
  <c r="CK21" i="11" s="1"/>
  <c r="BS21" i="11"/>
  <c r="BO21" i="11"/>
  <c r="CI21" i="11" s="1"/>
  <c r="BR21" i="11"/>
  <c r="CL21" i="11" s="1"/>
  <c r="BS22" i="11"/>
  <c r="BO22" i="11"/>
  <c r="CI22" i="11" s="1"/>
  <c r="BU22" i="11"/>
  <c r="CO22" i="11" s="1"/>
  <c r="BQ22" i="11"/>
  <c r="CK22" i="11" s="1"/>
  <c r="BR22" i="11"/>
  <c r="CL22" i="11" s="1"/>
  <c r="BU23" i="11"/>
  <c r="CO23" i="11" s="1"/>
  <c r="BQ23" i="11"/>
  <c r="CK23" i="11" s="1"/>
  <c r="BS23" i="11"/>
  <c r="BO23" i="11"/>
  <c r="CI23" i="11" s="1"/>
  <c r="BR23" i="11"/>
  <c r="CL23" i="11" s="1"/>
  <c r="BS51" i="11"/>
  <c r="BO51" i="11"/>
  <c r="CI51" i="11" s="1"/>
  <c r="BU51" i="11"/>
  <c r="BQ51" i="11"/>
  <c r="CK51" i="11" s="1"/>
  <c r="BR51" i="11"/>
  <c r="CL51" i="11" s="1"/>
  <c r="BU59" i="11"/>
  <c r="BQ59" i="11"/>
  <c r="CK59" i="11" s="1"/>
  <c r="BS59" i="11"/>
  <c r="CM59" i="11" s="1"/>
  <c r="BO59" i="11"/>
  <c r="CI59" i="11" s="1"/>
  <c r="BR59" i="11"/>
  <c r="CL59" i="11" s="1"/>
  <c r="BR41" i="11"/>
  <c r="CL41" i="11" s="1"/>
  <c r="BO32" i="11"/>
  <c r="CI32" i="11" s="1"/>
  <c r="BT57" i="11"/>
  <c r="CN57" i="11" s="1"/>
  <c r="BT20" i="11"/>
  <c r="BT21" i="11"/>
  <c r="BO41" i="11"/>
  <c r="CI41" i="11" s="1"/>
  <c r="BS41" i="11"/>
  <c r="BO47" i="11"/>
  <c r="CI47" i="11" s="1"/>
  <c r="BS47" i="11"/>
  <c r="BP41" i="11"/>
  <c r="CJ41" i="11" s="1"/>
  <c r="BT41" i="11"/>
  <c r="BP47" i="11"/>
  <c r="CJ47" i="11" s="1"/>
  <c r="BT47" i="11"/>
  <c r="BQ41" i="11"/>
  <c r="CK41" i="11" s="1"/>
  <c r="BQ47" i="11"/>
  <c r="CK47" i="11" s="1"/>
  <c r="BO3" i="11" l="1"/>
  <c r="CI3" i="11" s="1"/>
  <c r="BE53" i="11"/>
  <c r="BO53" i="11" s="1"/>
  <c r="CI53" i="11" s="1"/>
  <c r="BE13" i="11"/>
  <c r="BF2" i="11"/>
  <c r="BF53" i="11"/>
  <c r="BE46" i="11"/>
  <c r="BO46" i="11" s="1"/>
  <c r="CI46" i="11" s="1"/>
  <c r="BE2" i="11"/>
  <c r="BF3" i="11"/>
  <c r="BP3" i="11" s="1"/>
  <c r="CJ3" i="11" s="1"/>
  <c r="BF46" i="11"/>
  <c r="BG46" i="11"/>
  <c r="BO33" i="11"/>
  <c r="CI33" i="11" s="1"/>
  <c r="BG33" i="11"/>
  <c r="BG6" i="11"/>
  <c r="BF33" i="11"/>
  <c r="BT33" i="11" s="1"/>
  <c r="BF6" i="11"/>
  <c r="BN33" i="11"/>
  <c r="CH33" i="11" s="1"/>
  <c r="N9" i="11" a="1"/>
  <c r="N9" i="11" s="1"/>
  <c r="N22" i="11" a="1"/>
  <c r="N22" i="11" s="1"/>
  <c r="N18" i="11" a="1"/>
  <c r="N18" i="11" s="1"/>
  <c r="N7" i="11" a="1"/>
  <c r="N7" i="11" s="1"/>
  <c r="N23" i="11" a="1"/>
  <c r="N23" i="11" s="1"/>
  <c r="N48" i="11" a="1"/>
  <c r="N48" i="11" s="1"/>
  <c r="N40" i="11" a="1"/>
  <c r="N40" i="11" s="1"/>
  <c r="N24" i="11" a="1"/>
  <c r="N24" i="11" s="1"/>
  <c r="N11" i="11" a="1"/>
  <c r="N11" i="11" s="1"/>
  <c r="N34" i="11" a="1"/>
  <c r="N34" i="11" s="1"/>
  <c r="N25" i="11" a="1"/>
  <c r="N25" i="11" s="1"/>
  <c r="N26" i="11" a="1"/>
  <c r="N26" i="11" s="1"/>
  <c r="N20" i="11" a="1"/>
  <c r="N20" i="11" s="1"/>
  <c r="N16" i="11" a="1"/>
  <c r="N16" i="11" s="1"/>
  <c r="N52" i="11" a="1"/>
  <c r="N52" i="11" s="1"/>
  <c r="N36" i="11" a="1"/>
  <c r="N36" i="11" s="1"/>
  <c r="N15" i="11" a="1"/>
  <c r="N15" i="11" s="1"/>
  <c r="N17" i="11" a="1"/>
  <c r="N17" i="11" s="1"/>
  <c r="N4" i="11" a="1"/>
  <c r="N4" i="11" s="1"/>
  <c r="N38" i="11" a="1"/>
  <c r="N38" i="11" s="1"/>
  <c r="N14" i="11" a="1"/>
  <c r="N14" i="11" s="1"/>
  <c r="N10" i="11" a="1"/>
  <c r="N10" i="11" s="1"/>
  <c r="AB59" i="8"/>
  <c r="AC59" i="8" s="1"/>
  <c r="BU33" i="11" l="1"/>
  <c r="CO33" i="11" s="1"/>
  <c r="BG53" i="11"/>
  <c r="BR53" i="11" s="1"/>
  <c r="BG13" i="11"/>
  <c r="BS13" i="11" s="1"/>
  <c r="BO13" i="11"/>
  <c r="CI13" i="11" s="1"/>
  <c r="BP13" i="11"/>
  <c r="CJ13" i="11" s="1"/>
  <c r="BT53" i="11"/>
  <c r="BQ53" i="11"/>
  <c r="CK53" i="11" s="1"/>
  <c r="N39" i="11" s="1" a="1"/>
  <c r="N39" i="11" s="1"/>
  <c r="BU53" i="11"/>
  <c r="BS53" i="11"/>
  <c r="BP53" i="11"/>
  <c r="CJ53" i="11" s="1"/>
  <c r="BG3" i="11"/>
  <c r="BU3" i="11" s="1"/>
  <c r="BG2" i="11"/>
  <c r="BT2" i="11" s="1"/>
  <c r="BZ2" i="11"/>
  <c r="BU2" i="11"/>
  <c r="BY2" i="11"/>
  <c r="BP2" i="11"/>
  <c r="CJ2" i="11" s="1"/>
  <c r="BO2" i="11"/>
  <c r="CI2" i="11" s="1"/>
  <c r="BR2" i="11"/>
  <c r="BR46" i="11"/>
  <c r="BT46" i="11"/>
  <c r="BS46" i="11"/>
  <c r="BP46" i="11"/>
  <c r="CJ46" i="11" s="1"/>
  <c r="BQ46" i="11"/>
  <c r="CK46" i="11" s="1"/>
  <c r="N46" i="11" s="1" a="1"/>
  <c r="N46" i="11" s="1"/>
  <c r="BU46" i="11"/>
  <c r="BS33" i="11"/>
  <c r="BR33" i="11"/>
  <c r="CL33" i="11" s="1"/>
  <c r="BQ33" i="11"/>
  <c r="CK33" i="11" s="1"/>
  <c r="N33" i="11" s="1" a="1"/>
  <c r="N33" i="11" s="1"/>
  <c r="BU6" i="11"/>
  <c r="CO6" i="11" s="1"/>
  <c r="BR6" i="11"/>
  <c r="CL6" i="11" s="1"/>
  <c r="BS6" i="11"/>
  <c r="BT6" i="11"/>
  <c r="BQ6" i="11"/>
  <c r="CK6" i="11" s="1"/>
  <c r="BP6" i="11"/>
  <c r="CJ6" i="11" s="1"/>
  <c r="BP33" i="11"/>
  <c r="CJ33" i="11" s="1"/>
  <c r="AB58" i="8"/>
  <c r="AC58" i="8" s="1"/>
  <c r="AB57" i="8"/>
  <c r="AC57" i="8" s="1"/>
  <c r="N6" i="11" l="1" a="1"/>
  <c r="N6" i="11" s="1"/>
  <c r="BQ2" i="11"/>
  <c r="CK2" i="11" s="1"/>
  <c r="BS2" i="11"/>
  <c r="BQ13" i="11"/>
  <c r="CK13" i="11" s="1"/>
  <c r="BR13" i="11"/>
  <c r="BT13" i="11"/>
  <c r="BU13" i="11"/>
  <c r="CO13" i="11" s="1"/>
  <c r="N8" i="11" s="1" a="1"/>
  <c r="N8" i="11" s="1"/>
  <c r="BT3" i="11"/>
  <c r="BQ3" i="11"/>
  <c r="CK3" i="11" s="1"/>
  <c r="BR3" i="11"/>
  <c r="BS3" i="11"/>
  <c r="N49" i="11" a="1"/>
  <c r="N49" i="11" s="1"/>
  <c r="N44" i="11" a="1"/>
  <c r="N44" i="11" s="1"/>
  <c r="N37" i="11" a="1"/>
  <c r="N37" i="11" s="1"/>
  <c r="N51" i="11" a="1"/>
  <c r="N51" i="11" s="1"/>
  <c r="N41" i="11" a="1"/>
  <c r="N41" i="11" s="1"/>
  <c r="N50" i="11" a="1"/>
  <c r="N50" i="11" s="1"/>
  <c r="N47" i="11" a="1"/>
  <c r="N47" i="11" s="1"/>
  <c r="N19" i="11" a="1"/>
  <c r="N19" i="11" s="1"/>
  <c r="N5" i="11" a="1"/>
  <c r="N5" i="11" s="1"/>
  <c r="N1" i="11" a="1"/>
  <c r="N1" i="11" s="1"/>
  <c r="N35" i="11" a="1"/>
  <c r="N35" i="11" s="1"/>
  <c r="N42" i="11" l="1" a="1"/>
  <c r="N42" i="11" s="1"/>
  <c r="N3" i="11" a="1"/>
  <c r="N3" i="11" s="1"/>
  <c r="N13" i="11" a="1"/>
  <c r="N13" i="11" s="1"/>
  <c r="N45" i="11" a="1"/>
  <c r="N45" i="11" s="1"/>
  <c r="AB48" i="8"/>
  <c r="AC48" i="8" s="1"/>
  <c r="AB46" i="8"/>
  <c r="AC46" i="8" s="1"/>
  <c r="AB47" i="8"/>
  <c r="AC47" i="8" s="1"/>
  <c r="AB45" i="8"/>
  <c r="AC45" i="8" s="1"/>
  <c r="AB44" i="8" l="1"/>
  <c r="AC44" i="8" s="1"/>
  <c r="AB43" i="8"/>
  <c r="AC43" i="8" s="1"/>
  <c r="AB24" i="8" l="1"/>
  <c r="AB33" i="8" l="1"/>
  <c r="AC33" i="8" s="1"/>
  <c r="AB32" i="8"/>
  <c r="AC32" i="8" s="1"/>
  <c r="AB31" i="8"/>
  <c r="AC31" i="8" s="1"/>
  <c r="AB30" i="8"/>
  <c r="AC30" i="8" s="1"/>
  <c r="AB29" i="8"/>
  <c r="AC29" i="8" s="1"/>
  <c r="AB28" i="8"/>
  <c r="AC28" i="8" s="1"/>
  <c r="AB27" i="8"/>
  <c r="AC27" i="8" s="1"/>
  <c r="AB26" i="8"/>
  <c r="AC26" i="8" s="1"/>
  <c r="AB25" i="8"/>
  <c r="AC25" i="8" s="1"/>
  <c r="AC24" i="8"/>
  <c r="AB23" i="8"/>
  <c r="AC23" i="8" s="1"/>
  <c r="AB22" i="8"/>
  <c r="AC22" i="8" s="1"/>
  <c r="AB21" i="8"/>
  <c r="AC21" i="8" s="1"/>
  <c r="AB20" i="8"/>
  <c r="AC20" i="8" s="1"/>
  <c r="AB19" i="8"/>
  <c r="AC19" i="8" s="1"/>
  <c r="AB18" i="8"/>
  <c r="AC18" i="8" s="1"/>
  <c r="AB17" i="8"/>
  <c r="AC17" i="8" s="1"/>
  <c r="AB16" i="8"/>
  <c r="AC16" i="8" s="1"/>
  <c r="AB15" i="8"/>
  <c r="AC15" i="8" s="1"/>
  <c r="AB14" i="8"/>
  <c r="AC14" i="8" s="1"/>
  <c r="AB13" i="8"/>
  <c r="AC13" i="8" s="1"/>
  <c r="AB12" i="8"/>
  <c r="AC12" i="8" s="1"/>
  <c r="AB11" i="8"/>
  <c r="AC11" i="8" s="1"/>
  <c r="AB10" i="8"/>
  <c r="AC10" i="8" s="1"/>
  <c r="AB8" i="8"/>
  <c r="AC8" i="8" s="1"/>
  <c r="AB7" i="8"/>
  <c r="AC7" i="8" s="1"/>
  <c r="AB6" i="8"/>
  <c r="AC6" i="8" s="1"/>
  <c r="BN47" i="11"/>
  <c r="CH47" i="11" s="1"/>
  <c r="CA2" i="11"/>
  <c r="BX3" i="11"/>
  <c r="BY3" i="11"/>
  <c r="BZ3" i="11"/>
  <c r="CA3" i="11"/>
  <c r="BY4" i="11"/>
  <c r="BZ4" i="11"/>
  <c r="CA4" i="11"/>
  <c r="BY5" i="11"/>
  <c r="BZ5" i="11"/>
  <c r="CA5" i="11"/>
  <c r="CB5" i="11"/>
  <c r="BY6" i="11"/>
  <c r="BZ6" i="11"/>
  <c r="CA6" i="11"/>
  <c r="CB6" i="11"/>
  <c r="BX7" i="11"/>
  <c r="BY7" i="11"/>
  <c r="BZ7" i="11"/>
  <c r="BX8" i="11"/>
  <c r="BY8" i="11"/>
  <c r="BZ8" i="11"/>
  <c r="CA8" i="11"/>
  <c r="CB8" i="11"/>
  <c r="BX9" i="11"/>
  <c r="BY9" i="11"/>
  <c r="BZ9" i="11"/>
  <c r="CA9" i="11"/>
  <c r="CB9" i="11"/>
  <c r="BX10" i="11"/>
  <c r="BY10" i="11"/>
  <c r="BZ10" i="11"/>
  <c r="CA10" i="11"/>
  <c r="BX11" i="11"/>
  <c r="BZ11" i="11"/>
  <c r="BX12" i="11"/>
  <c r="BY12" i="11"/>
  <c r="BZ12" i="11"/>
  <c r="BX13" i="11"/>
  <c r="BZ13" i="11"/>
  <c r="BX14" i="11"/>
  <c r="BY14" i="11"/>
  <c r="BZ14" i="11"/>
  <c r="CA14" i="11"/>
  <c r="BX15" i="11"/>
  <c r="BY15" i="11"/>
  <c r="BZ15" i="11"/>
  <c r="CA15" i="11"/>
  <c r="BX16" i="11"/>
  <c r="BY16" i="11"/>
  <c r="BZ16" i="11"/>
  <c r="CA16" i="11"/>
  <c r="BX17" i="11"/>
  <c r="BY17" i="11"/>
  <c r="BZ17" i="11"/>
  <c r="CA17" i="11"/>
  <c r="CB17" i="11"/>
  <c r="BX18" i="11"/>
  <c r="BY18" i="11"/>
  <c r="BZ18" i="11"/>
  <c r="CA18" i="11"/>
  <c r="CB18" i="11"/>
  <c r="BX19" i="11"/>
  <c r="BY19" i="11"/>
  <c r="BZ19" i="11"/>
  <c r="CA19" i="11"/>
  <c r="CB19" i="11"/>
  <c r="BX20" i="11"/>
  <c r="BY20" i="11"/>
  <c r="BZ20" i="11"/>
  <c r="CA20" i="11"/>
  <c r="BX21" i="11"/>
  <c r="BY21" i="11"/>
  <c r="CA21" i="11"/>
  <c r="CB21" i="11"/>
  <c r="BX22" i="11"/>
  <c r="BY22" i="11"/>
  <c r="BX23" i="11"/>
  <c r="BY23" i="11"/>
  <c r="CA23" i="11"/>
  <c r="BX24" i="11"/>
  <c r="BY24" i="11"/>
  <c r="BZ24" i="11"/>
  <c r="CA24" i="11"/>
  <c r="BX25" i="11"/>
  <c r="BY25" i="11"/>
  <c r="BZ25" i="11"/>
  <c r="CA25" i="11"/>
  <c r="BX26" i="11"/>
  <c r="BY26" i="11"/>
  <c r="BZ26" i="11"/>
  <c r="CA26" i="11"/>
  <c r="BX27" i="11"/>
  <c r="BY27" i="11"/>
  <c r="BZ27" i="11"/>
  <c r="CA27" i="11"/>
  <c r="BX28" i="11"/>
  <c r="BY28" i="11"/>
  <c r="BZ28" i="11"/>
  <c r="CA28" i="11"/>
  <c r="BX29" i="11"/>
  <c r="BY29" i="11"/>
  <c r="BZ29" i="11"/>
  <c r="CA29" i="11"/>
  <c r="BX30" i="11"/>
  <c r="BY30" i="11"/>
  <c r="BZ30" i="11"/>
  <c r="CA30" i="11"/>
  <c r="M29" i="11" s="1" a="1"/>
  <c r="M29" i="11" s="1"/>
  <c r="BX31" i="11"/>
  <c r="BY31" i="11"/>
  <c r="BZ31" i="11"/>
  <c r="CA31" i="11"/>
  <c r="BX32" i="11"/>
  <c r="BY32" i="11"/>
  <c r="BZ32" i="11"/>
  <c r="CA32" i="11"/>
  <c r="BX33" i="11"/>
  <c r="BY33" i="11"/>
  <c r="BZ33" i="11"/>
  <c r="CA33" i="11"/>
  <c r="BX34" i="11"/>
  <c r="BY34" i="11"/>
  <c r="BZ34" i="11"/>
  <c r="CA34" i="11"/>
  <c r="BX35" i="11"/>
  <c r="BY35" i="11"/>
  <c r="BZ35" i="11"/>
  <c r="CA35" i="11"/>
  <c r="BX36" i="11"/>
  <c r="BY36" i="11"/>
  <c r="BZ36" i="11"/>
  <c r="CA36" i="11"/>
  <c r="BX37" i="11"/>
  <c r="BY37" i="11"/>
  <c r="BZ37" i="11"/>
  <c r="CA37" i="11"/>
  <c r="BX38" i="11"/>
  <c r="BY38" i="11"/>
  <c r="BZ38" i="11"/>
  <c r="CA38" i="11"/>
  <c r="BX42" i="11"/>
  <c r="BY42" i="11"/>
  <c r="BZ42" i="11"/>
  <c r="BX39" i="11"/>
  <c r="BY39" i="11"/>
  <c r="BZ39" i="11"/>
  <c r="BX44" i="11"/>
  <c r="BY44" i="11"/>
  <c r="BZ44" i="11"/>
  <c r="BX40" i="11"/>
  <c r="BY40" i="11"/>
  <c r="BZ40" i="11"/>
  <c r="BX41" i="11"/>
  <c r="BY41" i="11"/>
  <c r="BZ41" i="11"/>
  <c r="BX43" i="11"/>
  <c r="BY43" i="11"/>
  <c r="BZ43" i="11"/>
  <c r="BX45" i="11"/>
  <c r="BY45" i="11"/>
  <c r="BZ45" i="11"/>
  <c r="BX46" i="11"/>
  <c r="BY46" i="11"/>
  <c r="BZ46" i="11"/>
  <c r="BX47" i="11"/>
  <c r="BY47" i="11"/>
  <c r="BZ47" i="11"/>
  <c r="BX48" i="11"/>
  <c r="BY48" i="11"/>
  <c r="BZ48" i="11"/>
  <c r="BX49" i="11"/>
  <c r="BY49" i="11"/>
  <c r="BZ49" i="11"/>
  <c r="BX50" i="11"/>
  <c r="BY50" i="11"/>
  <c r="BX51" i="11"/>
  <c r="BX52" i="11"/>
  <c r="BX53" i="11"/>
  <c r="BX54" i="11"/>
  <c r="BX55" i="11"/>
  <c r="BX56" i="11"/>
  <c r="BX57" i="11"/>
  <c r="BX58" i="11"/>
  <c r="BX59" i="11"/>
  <c r="BN60" i="11"/>
  <c r="CH60" i="11" s="1"/>
  <c r="CK60" i="11"/>
  <c r="BR60" i="11"/>
  <c r="CL60" i="11" s="1"/>
  <c r="BS60" i="11"/>
  <c r="CM60" i="11" s="1"/>
  <c r="BT60" i="11"/>
  <c r="BU60" i="11"/>
  <c r="CO60" i="11" s="1"/>
  <c r="BN61" i="11"/>
  <c r="CH61" i="11" s="1"/>
  <c r="BQ61" i="11"/>
  <c r="CK61" i="11" s="1"/>
  <c r="BR61" i="11"/>
  <c r="CL61" i="11" s="1"/>
  <c r="BS61" i="11"/>
  <c r="CM61" i="11" s="1"/>
  <c r="BT61" i="11"/>
  <c r="BU61" i="11"/>
  <c r="CO61" i="11" s="1"/>
  <c r="BN62" i="11"/>
  <c r="CH62" i="11" s="1"/>
  <c r="BQ62" i="11"/>
  <c r="CK62" i="11" s="1"/>
  <c r="BR62" i="11"/>
  <c r="CL62" i="11" s="1"/>
  <c r="BS62" i="11"/>
  <c r="CM62" i="11" s="1"/>
  <c r="BT62" i="11"/>
  <c r="BU62" i="11"/>
  <c r="CO62" i="11" s="1"/>
  <c r="BN63" i="11"/>
  <c r="CH63" i="11" s="1"/>
  <c r="BQ63" i="11"/>
  <c r="CK63" i="11" s="1"/>
  <c r="N30" i="11" s="1" a="1"/>
  <c r="N30" i="11" s="1"/>
  <c r="BR63" i="11"/>
  <c r="CL63" i="11" s="1"/>
  <c r="BS63" i="11"/>
  <c r="CM63" i="11" s="1"/>
  <c r="BT63" i="11"/>
  <c r="BU63" i="11"/>
  <c r="CO63" i="11" s="1"/>
  <c r="BN64" i="11"/>
  <c r="BQ64" i="11"/>
  <c r="CK64" i="11" s="1"/>
  <c r="N43" i="11" s="1" a="1"/>
  <c r="N43" i="11" s="1"/>
  <c r="BR64" i="11"/>
  <c r="BS64" i="11"/>
  <c r="BT64" i="11"/>
  <c r="BU64" i="11"/>
  <c r="BN65" i="11"/>
  <c r="CI65" i="11"/>
  <c r="BQ65" i="11"/>
  <c r="CK65" i="11" s="1"/>
  <c r="N32" i="11" s="1" a="1"/>
  <c r="N32" i="11" s="1"/>
  <c r="BR65" i="11"/>
  <c r="BS65" i="11"/>
  <c r="BT65" i="11"/>
  <c r="BU65" i="11"/>
  <c r="BN66" i="11"/>
  <c r="BN67" i="11"/>
  <c r="BN68" i="11"/>
  <c r="BN69" i="11"/>
  <c r="BN70" i="11"/>
  <c r="CH70" i="11" s="1"/>
  <c r="BN58" i="11"/>
  <c r="CH58" i="11" s="1"/>
  <c r="CA43" i="11"/>
  <c r="M45" i="11" a="1"/>
  <c r="M45" i="11" s="1"/>
  <c r="M18" i="11" l="1" a="1"/>
  <c r="M18" i="11" s="1"/>
  <c r="N12" i="11" a="1"/>
  <c r="N12" i="11" s="1"/>
  <c r="N27" i="11" a="1"/>
  <c r="N27" i="11" s="1"/>
  <c r="N28" i="11" a="1"/>
  <c r="N28" i="11" s="1"/>
  <c r="N29" i="11" a="1"/>
  <c r="N29" i="11" s="1"/>
  <c r="M13" i="11" a="1"/>
  <c r="M13" i="11" s="1"/>
  <c r="M19" i="11" a="1"/>
  <c r="M19" i="11" s="1"/>
  <c r="M17" i="11" a="1"/>
  <c r="M17" i="11" s="1"/>
  <c r="N53" i="11" a="1"/>
  <c r="N53" i="11" s="1"/>
  <c r="N2" i="11" a="1"/>
  <c r="N2" i="11" s="1"/>
  <c r="N31" i="11" a="1"/>
  <c r="N31" i="11" s="1"/>
  <c r="BX2" i="11"/>
  <c r="BX4" i="11"/>
  <c r="BX5" i="11"/>
  <c r="BX6" i="11"/>
  <c r="BY11" i="11"/>
  <c r="CA12" i="11"/>
  <c r="BY13" i="11"/>
  <c r="CA13" i="11"/>
  <c r="CB15" i="11"/>
  <c r="CB16" i="11"/>
  <c r="CA22" i="11"/>
  <c r="M30" i="11" a="1"/>
  <c r="M30" i="11" s="1"/>
  <c r="CA46" i="11"/>
  <c r="M44" i="11" s="1" a="1"/>
  <c r="M44" i="11" s="1"/>
  <c r="M8" i="11" l="1" a="1"/>
  <c r="M8" i="11" s="1"/>
  <c r="CA11" i="11"/>
  <c r="CB11" i="11"/>
  <c r="CB12" i="11"/>
  <c r="CB4" i="11"/>
  <c r="BZ21" i="11"/>
  <c r="M9" i="11" s="1" a="1"/>
  <c r="M9" i="11" s="1"/>
  <c r="BZ23" i="11"/>
  <c r="CA48" i="11"/>
  <c r="CA49" i="11"/>
  <c r="CA50" i="11"/>
  <c r="CA51" i="11"/>
  <c r="CA52" i="11"/>
  <c r="CA53" i="11"/>
  <c r="BZ51" i="11"/>
  <c r="BZ52" i="11"/>
  <c r="BZ53" i="11"/>
  <c r="BZ54" i="11"/>
  <c r="BZ55" i="11"/>
  <c r="BZ56" i="11"/>
  <c r="BZ57" i="11"/>
  <c r="BZ58" i="11"/>
  <c r="BZ59" i="11"/>
  <c r="BZ60" i="11"/>
  <c r="BZ61" i="11"/>
  <c r="BZ62" i="11"/>
  <c r="BZ63" i="11"/>
  <c r="BY51" i="11"/>
  <c r="BY52" i="11"/>
  <c r="BY53" i="11"/>
  <c r="BY60" i="11"/>
  <c r="BY61" i="11"/>
  <c r="BY62" i="11"/>
  <c r="M62" i="11" s="1" a="1"/>
  <c r="M62" i="11" s="1"/>
  <c r="BY63" i="11"/>
  <c r="BX64" i="11"/>
  <c r="BX65" i="11"/>
  <c r="BX66" i="11"/>
  <c r="BX67" i="11"/>
  <c r="BX68" i="11"/>
  <c r="BX69" i="11"/>
  <c r="BP60" i="11"/>
  <c r="CJ60" i="11" s="1"/>
  <c r="BP61" i="11"/>
  <c r="CJ61" i="11" s="1"/>
  <c r="BO60" i="11"/>
  <c r="BP65" i="11"/>
  <c r="BP66" i="11"/>
  <c r="CJ66" i="11" s="1"/>
  <c r="BO67" i="11"/>
  <c r="CI67" i="11" s="1"/>
  <c r="BO69" i="11"/>
  <c r="CI69" i="11" s="1"/>
  <c r="BO61" i="11"/>
  <c r="BP62" i="11"/>
  <c r="CJ62" i="11" s="1"/>
  <c r="BP63" i="11"/>
  <c r="CJ63" i="11" s="1"/>
  <c r="BP64" i="11"/>
  <c r="BP68" i="11"/>
  <c r="BO62" i="11"/>
  <c r="BO63" i="11"/>
  <c r="BO64" i="11"/>
  <c r="CI64" i="11" s="1"/>
  <c r="BO68" i="11"/>
  <c r="CI68" i="11" s="1"/>
  <c r="BN2" i="11"/>
  <c r="CH2" i="11" s="1"/>
  <c r="CJ68" i="11"/>
  <c r="N57" i="11" a="1"/>
  <c r="N57" i="11" s="1"/>
  <c r="N21" i="11" a="1"/>
  <c r="N21" i="11" s="1"/>
  <c r="CJ64" i="11"/>
  <c r="CJ65" i="11"/>
  <c r="N68" i="11" s="1" a="1"/>
  <c r="N68" i="11" s="1"/>
  <c r="N58" i="11" a="1"/>
  <c r="N58" i="11" s="1"/>
  <c r="N54" i="11" a="1"/>
  <c r="N54" i="11" s="1"/>
  <c r="N56" i="11" a="1"/>
  <c r="N56" i="11" s="1"/>
  <c r="N55" i="11" a="1"/>
  <c r="N55" i="11" s="1"/>
  <c r="N64" i="11" l="1" a="1"/>
  <c r="N64" i="11" s="1"/>
  <c r="N69" i="11" a="1"/>
  <c r="N69" i="11" s="1"/>
  <c r="M60" i="11" a="1"/>
  <c r="M60" i="11" s="1"/>
  <c r="M12" i="11" a="1"/>
  <c r="M12" i="11" s="1"/>
  <c r="N62" i="11" a="1"/>
  <c r="N62" i="11" s="1"/>
  <c r="N60" i="11" a="1"/>
  <c r="N60" i="11" s="1"/>
  <c r="N61" i="11" a="1"/>
  <c r="N61" i="11" s="1"/>
  <c r="N63" i="11" a="1"/>
  <c r="N63" i="11" s="1"/>
  <c r="N59" i="11" a="1"/>
  <c r="N59" i="11" s="1"/>
  <c r="N66" i="11" a="1"/>
  <c r="N66" i="11" s="1"/>
  <c r="N65" i="11" a="1"/>
  <c r="N65" i="11" s="1"/>
  <c r="N67" i="11" a="1"/>
  <c r="N67" i="11" s="1"/>
  <c r="M1" i="11" a="1"/>
  <c r="M1" i="11" s="1"/>
  <c r="CB34" i="11"/>
  <c r="M33" i="11" s="1" a="1"/>
  <c r="M33" i="11" s="1"/>
  <c r="CB38" i="11"/>
  <c r="CB42" i="11"/>
  <c r="CB39" i="11"/>
  <c r="CB41" i="11"/>
  <c r="M24" i="11" s="1" a="1"/>
  <c r="M24" i="11" s="1"/>
  <c r="CB43" i="11"/>
  <c r="CB49" i="11"/>
  <c r="CB50" i="11"/>
  <c r="M61" i="11" s="1" a="1"/>
  <c r="M61" i="11" s="1"/>
  <c r="CB51" i="11"/>
  <c r="BZ22" i="11"/>
  <c r="CA7" i="11"/>
  <c r="M2" i="11" s="1" a="1"/>
  <c r="M2" i="11" s="1"/>
  <c r="M5" i="11" a="1"/>
  <c r="M5" i="11" s="1"/>
  <c r="M4" i="11" a="1"/>
  <c r="M4" i="11" s="1"/>
  <c r="M3" i="11" a="1"/>
  <c r="M3" i="11" s="1"/>
  <c r="M34" i="11" l="1" a="1"/>
  <c r="M34" i="11" s="1"/>
  <c r="M7" i="11" a="1"/>
  <c r="M7" i="11" s="1"/>
  <c r="M6" i="11" a="1"/>
  <c r="M6" i="11" s="1"/>
  <c r="M43" i="11" a="1"/>
  <c r="M43" i="11" s="1"/>
  <c r="M51" i="11" a="1"/>
  <c r="M51" i="11" s="1"/>
  <c r="M50" i="11" a="1"/>
  <c r="M50" i="11" s="1"/>
  <c r="CB22" i="11"/>
  <c r="M21" i="11" s="1" a="1"/>
  <c r="M21" i="11" s="1"/>
  <c r="CB23" i="11"/>
  <c r="CB26" i="11"/>
  <c r="M25" i="11" s="1" a="1"/>
  <c r="M25" i="11" s="1"/>
  <c r="CB27" i="11"/>
  <c r="CB28" i="11"/>
  <c r="M27" i="11" s="1" a="1"/>
  <c r="M27" i="11" s="1"/>
  <c r="CB32" i="11"/>
  <c r="M32" i="11" s="1" a="1"/>
  <c r="M32" i="11" s="1"/>
  <c r="CA54" i="11"/>
  <c r="CA55" i="11"/>
  <c r="CA56" i="11"/>
  <c r="CA57" i="11"/>
  <c r="CA58" i="11"/>
  <c r="CA59" i="11"/>
  <c r="BY54" i="11"/>
  <c r="BY55" i="11"/>
  <c r="BY56" i="11"/>
  <c r="BY57" i="11"/>
  <c r="BY58" i="11"/>
  <c r="BY59" i="11"/>
  <c r="M41" i="11" a="1"/>
  <c r="M41" i="11" s="1"/>
  <c r="M42" i="11" a="1"/>
  <c r="M42" i="11" s="1"/>
  <c r="M37" i="11" a="1"/>
  <c r="M37" i="11" s="1"/>
  <c r="M48" i="11" a="1"/>
  <c r="M48" i="11" s="1"/>
  <c r="M20" i="11" a="1"/>
  <c r="M20" i="11" s="1"/>
  <c r="M16" i="11" a="1"/>
  <c r="M16" i="11" s="1"/>
  <c r="M14" i="11" a="1"/>
  <c r="M14" i="11" s="1"/>
  <c r="M15" i="11" a="1"/>
  <c r="M15" i="11" s="1"/>
  <c r="M10" i="11" a="1"/>
  <c r="M10" i="11" s="1"/>
  <c r="M36" i="11" a="1"/>
  <c r="M36" i="11" s="1"/>
  <c r="M11" i="11" a="1"/>
  <c r="M11" i="11" s="1"/>
  <c r="M40" i="11" a="1"/>
  <c r="M40" i="11" s="1"/>
  <c r="M28" i="11" l="1" a="1"/>
  <c r="M28" i="11" s="1"/>
  <c r="M59" i="11" a="1"/>
  <c r="M59" i="11" s="1"/>
  <c r="M22" i="11" a="1"/>
  <c r="M22" i="11" s="1"/>
  <c r="M23" i="11" a="1"/>
  <c r="M23" i="11" s="1"/>
  <c r="M26" i="11" a="1"/>
  <c r="M26" i="11" s="1"/>
  <c r="M35" i="11" a="1"/>
  <c r="M35" i="11" s="1"/>
  <c r="M46" i="11" a="1"/>
  <c r="M46" i="11" s="1"/>
  <c r="M38" i="11" a="1"/>
  <c r="M38" i="11" s="1"/>
  <c r="M31" i="11" a="1"/>
  <c r="M31" i="11" s="1"/>
  <c r="M39" i="11" a="1"/>
  <c r="M39" i="11" s="1"/>
  <c r="M47" i="11" a="1"/>
  <c r="M47" i="11" s="1"/>
  <c r="M66" i="11" a="1"/>
  <c r="M66" i="11" s="1"/>
  <c r="M65" i="11" a="1"/>
  <c r="M65" i="11" s="1"/>
  <c r="M58" i="11" a="1"/>
  <c r="M58" i="11" s="1"/>
  <c r="M56" i="11" a="1"/>
  <c r="M56" i="11" s="1"/>
  <c r="CA67" i="11"/>
  <c r="M67" i="11" s="1" a="1"/>
  <c r="M67" i="11" s="1"/>
  <c r="CA68" i="11"/>
  <c r="CA69" i="11"/>
  <c r="M57" i="11" a="1"/>
  <c r="M57" i="11" s="1"/>
  <c r="M55" i="11" l="1" a="1"/>
  <c r="M55" i="11" s="1"/>
  <c r="M69" i="11" a="1"/>
  <c r="M69" i="11" s="1"/>
  <c r="M54" i="11" a="1"/>
  <c r="M54" i="11" s="1"/>
  <c r="M52" i="11" a="1"/>
  <c r="M52" i="11" s="1"/>
  <c r="M68" i="11" a="1"/>
  <c r="M68" i="11" s="1"/>
  <c r="M49" i="11" a="1"/>
  <c r="M49" i="11" s="1"/>
  <c r="M53" i="11" a="1"/>
  <c r="M53" i="11" s="1"/>
  <c r="M63" i="11" a="1"/>
  <c r="M63" i="11" s="1"/>
  <c r="M64" i="11" a="1"/>
  <c r="M64" i="1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<sst xmlns="http://schemas.openxmlformats.org/spreadsheetml/2006/main" count="4511" uniqueCount="703">
  <si>
    <t>You MUST open speadsheet in Desktop Editing App and click 'Enable Content' to use data entry forms</t>
  </si>
  <si>
    <t>FD sample ID</t>
  </si>
  <si>
    <t>FD Run ID</t>
  </si>
  <si>
    <t>Strain</t>
  </si>
  <si>
    <t>EFT date</t>
  </si>
  <si>
    <t>Broth ID</t>
  </si>
  <si>
    <t>Fermentation Scale</t>
  </si>
  <si>
    <t>Ferm condition</t>
  </si>
  <si>
    <t>EFT (hr)</t>
  </si>
  <si>
    <t>Broth titer (CFU/mL)</t>
  </si>
  <si>
    <t>Broth age (day)</t>
  </si>
  <si>
    <t xml:space="preserve">Pelletization date </t>
  </si>
  <si>
    <t xml:space="preserve">Cryo mix </t>
  </si>
  <si>
    <t>Ingredient 1</t>
  </si>
  <si>
    <t>Ingredient 2</t>
  </si>
  <si>
    <t>Ingredient 3</t>
  </si>
  <si>
    <t>Ingredient4</t>
  </si>
  <si>
    <t>Cryo mix addition rate</t>
  </si>
  <si>
    <t xml:space="preserve">FD start date </t>
  </si>
  <si>
    <t xml:space="preserve">FD cycle recipe </t>
  </si>
  <si>
    <t>FD pressure (mTorr)</t>
  </si>
  <si>
    <t>FD run time (hr)</t>
  </si>
  <si>
    <t>Primary ramp rate (C/min)</t>
  </si>
  <si>
    <t>PA receive date</t>
  </si>
  <si>
    <t xml:space="preserve">Dried appearance </t>
  </si>
  <si>
    <t xml:space="preserve">Container </t>
  </si>
  <si>
    <t>Water activity</t>
  </si>
  <si>
    <t>Viability (CFU/g)</t>
  </si>
  <si>
    <t>Yield (%)</t>
  </si>
  <si>
    <t xml:space="preserve">Log loss </t>
  </si>
  <si>
    <t xml:space="preserve">Storage tracking </t>
  </si>
  <si>
    <t>Seed treatment</t>
  </si>
  <si>
    <t>Note</t>
  </si>
  <si>
    <t>22PT1202-10</t>
  </si>
  <si>
    <t>FDL-105A-T01</t>
  </si>
  <si>
    <t>Klebsiella variicola</t>
  </si>
  <si>
    <t>P080-22-Y048</t>
  </si>
  <si>
    <t>14L</t>
  </si>
  <si>
    <t>Potato peptone and tryptone, high viscosity by post-ferm addition of 0.7% XG</t>
  </si>
  <si>
    <t>SKP</t>
  </si>
  <si>
    <t>40% Sucrose</t>
  </si>
  <si>
    <t>8% KH2PO4</t>
  </si>
  <si>
    <t>10.2% K2HPO4</t>
  </si>
  <si>
    <t>12/13/2022</t>
  </si>
  <si>
    <t>PVT090-A0</t>
  </si>
  <si>
    <t>110-580</t>
  </si>
  <si>
    <t>57 hr</t>
  </si>
  <si>
    <t>fused/melted moist cake</t>
  </si>
  <si>
    <t>Foil pouch</t>
  </si>
  <si>
    <t>n/m</t>
  </si>
  <si>
    <t>N</t>
  </si>
  <si>
    <t>Sample in D102 cold case</t>
  </si>
  <si>
    <t>22PT1202-12</t>
  </si>
  <si>
    <t>FDL-105A-T02</t>
  </si>
  <si>
    <t>DSR</t>
  </si>
  <si>
    <t>10% Maltodextrin</t>
  </si>
  <si>
    <t>0.5% MgSO4</t>
  </si>
  <si>
    <t>Collapse, no dust</t>
  </si>
  <si>
    <t>Y</t>
  </si>
  <si>
    <t>22PT1202-5</t>
  </si>
  <si>
    <t>FDL-105A-T03</t>
  </si>
  <si>
    <t>Kosakonia sacchari</t>
  </si>
  <si>
    <t>P080-22-Y046 </t>
  </si>
  <si>
    <t>PVT70%</t>
  </si>
  <si>
    <t>45.5% Sucrose</t>
  </si>
  <si>
    <t>22.75% Inulin</t>
  </si>
  <si>
    <t>Collapse, some dust</t>
  </si>
  <si>
    <t>22PT1202-11</t>
  </si>
  <si>
    <t>FDL-105A-T04</t>
  </si>
  <si>
    <t>22PT1202-1</t>
  </si>
  <si>
    <t>FDL-105B-T05</t>
  </si>
  <si>
    <t xml:space="preserve"> Potato peptone and tryptone, low viscosity</t>
  </si>
  <si>
    <t>friable cake, readily broke into pellets</t>
  </si>
  <si>
    <t>22PT1202-3</t>
  </si>
  <si>
    <t>FDL-105B-T06</t>
  </si>
  <si>
    <t>cake with some pellets, poor tray release</t>
  </si>
  <si>
    <t>22PT1202-4</t>
  </si>
  <si>
    <t>FDL-105B-T07</t>
  </si>
  <si>
    <t>fused/moist cake of pellets</t>
  </si>
  <si>
    <t>22PT1117-7</t>
  </si>
  <si>
    <t>FDL-105B-T08</t>
  </si>
  <si>
    <t>11/17/2022</t>
  </si>
  <si>
    <t>P080-22-Y043</t>
  </si>
  <si>
    <t>moist/wet cake</t>
  </si>
  <si>
    <t>22PT1202-6</t>
  </si>
  <si>
    <t>FDL-105B-T09</t>
  </si>
  <si>
    <t>speckled pellets, slightly clumped</t>
  </si>
  <si>
    <t>22PT1117-8</t>
  </si>
  <si>
    <t>FDL-105B-T10</t>
  </si>
  <si>
    <t>dark brown/white speckled pellets, some clumps</t>
  </si>
  <si>
    <t>22PT1117-9</t>
  </si>
  <si>
    <t>FDL-105B-T11</t>
  </si>
  <si>
    <t>22PT1202-2</t>
  </si>
  <si>
    <t>FDL-105B-T12</t>
  </si>
  <si>
    <t>22PT1216-3</t>
  </si>
  <si>
    <t>FDL-105C-T13</t>
  </si>
  <si>
    <t>12/11/2022</t>
  </si>
  <si>
    <t>Dec-CR-KLUB</t>
  </si>
  <si>
    <t>150K</t>
  </si>
  <si>
    <t>Glucose, high EPS, CR broth</t>
  </si>
  <si>
    <t>light brown/white speckled, free-flowing pellets, no dust</t>
  </si>
  <si>
    <t>22PT1102-8</t>
  </si>
  <si>
    <t>FDL-105C-T14</t>
  </si>
  <si>
    <t>11/02/2022</t>
  </si>
  <si>
    <t>P080-22-Y035</t>
  </si>
  <si>
    <t>Glucose, no EPS</t>
  </si>
  <si>
    <t>light-brown/white speckled, free-flowing pellets and large clumps, some dust</t>
  </si>
  <si>
    <t>22PT1117-5</t>
  </si>
  <si>
    <t>FDL-105C-T15</t>
  </si>
  <si>
    <t>P080-22-Y042</t>
  </si>
  <si>
    <t>Potato peptone only, less EPS, pH control</t>
  </si>
  <si>
    <t>light-brown/white speckled, free-flowing pellets and small clumps</t>
  </si>
  <si>
    <t>22PT1102-9</t>
  </si>
  <si>
    <t>FDL-105C-T16</t>
  </si>
  <si>
    <t>light-brown/white speckled, pellets and chucks, no dust</t>
  </si>
  <si>
    <t>22PT1117-6</t>
  </si>
  <si>
    <t>FDL-105C-T17</t>
  </si>
  <si>
    <t>tannish/white speckled, free-flowing pellets and some chunks</t>
  </si>
  <si>
    <t>22PT1216-2</t>
  </si>
  <si>
    <t>FDL-105C-T18</t>
  </si>
  <si>
    <t>brown/white speckled, free-flowing pellets and some strings, no dust</t>
  </si>
  <si>
    <t>22PT1216-1</t>
  </si>
  <si>
    <t>FDL-105D-T19</t>
  </si>
  <si>
    <t>OFD9-380</t>
  </si>
  <si>
    <t>53 hr</t>
  </si>
  <si>
    <t>light brown, friable cake of rounded pellets, little dust</t>
  </si>
  <si>
    <t>22PT1102-7</t>
  </si>
  <si>
    <t>FDL-105D-T20</t>
  </si>
  <si>
    <t>tan, friable cake, little dust</t>
  </si>
  <si>
    <t>22PT1117-4</t>
  </si>
  <si>
    <t>FDL-105D-T21</t>
  </si>
  <si>
    <t>tannish, free-flowing pellets, no dust</t>
  </si>
  <si>
    <t>23PT0119-2</t>
  </si>
  <si>
    <t>105EF-T22</t>
  </si>
  <si>
    <t>01/19/2023</t>
  </si>
  <si>
    <t>P010-23-Y001</t>
  </si>
  <si>
    <t>repeat of P080-22-Y005, tryptone + potato peptone</t>
  </si>
  <si>
    <t>01/20/2023</t>
  </si>
  <si>
    <t>brown/white speckled; free-flowing pellets, chunks; little/no dust</t>
  </si>
  <si>
    <t>23PT0119-3</t>
  </si>
  <si>
    <t>105EF-T23</t>
  </si>
  <si>
    <t>brown/white speckled; free-flowing pellets, some chunks; no dust</t>
  </si>
  <si>
    <t>23PT0119-5</t>
  </si>
  <si>
    <t>105EF-T24</t>
  </si>
  <si>
    <t>P010-23-Y002</t>
  </si>
  <si>
    <t>tryptone only</t>
  </si>
  <si>
    <t>orangey-tan/white speckled; free-flowing pellets, some chunks; little/no dust</t>
  </si>
  <si>
    <t>23PT0119-6</t>
  </si>
  <si>
    <t>105EF-T25</t>
  </si>
  <si>
    <t>23PT0119-8</t>
  </si>
  <si>
    <t>105EF-T26</t>
  </si>
  <si>
    <t>P010-23-Y003</t>
  </si>
  <si>
    <t>repeat of P080-22-Y007, tryptone + potato peptone</t>
  </si>
  <si>
    <t>brown/white specked; free-flowing pellets; warm/meltback spot near thermocouple</t>
  </si>
  <si>
    <t>23PT0119-9</t>
  </si>
  <si>
    <t>105EF-T27</t>
  </si>
  <si>
    <t>23PT0119-12</t>
  </si>
  <si>
    <t>105EF-T29</t>
  </si>
  <si>
    <t>P010-23-Y004</t>
  </si>
  <si>
    <t>brown/white speckled; softened cake of pellets and large chunks</t>
  </si>
  <si>
    <t>23PT0119-7</t>
  </si>
  <si>
    <t>105G-T30</t>
  </si>
  <si>
    <t>brown; friable cake; some dust</t>
  </si>
  <si>
    <t>23PT0119-10</t>
  </si>
  <si>
    <t>105G-T31</t>
  </si>
  <si>
    <t>brown; friable cake, clumps, pellets</t>
  </si>
  <si>
    <t>23PT0119-1</t>
  </si>
  <si>
    <t>105G-T32</t>
  </si>
  <si>
    <t>tan; free-flowing pellets; little dust</t>
  </si>
  <si>
    <t>23PT0119-4</t>
  </si>
  <si>
    <t>105G-T33</t>
  </si>
  <si>
    <t>tan; free-flowing pellets; little/no dust</t>
  </si>
  <si>
    <t>23PT0119-11</t>
  </si>
  <si>
    <t>105EF-T28</t>
  </si>
  <si>
    <t>brown/white speckled pellets; partial meltback</t>
  </si>
  <si>
    <t>IFF10202022-3</t>
  </si>
  <si>
    <t>FDL-107B-T04</t>
  </si>
  <si>
    <t>CR broth</t>
  </si>
  <si>
    <t>150 K</t>
  </si>
  <si>
    <t>Glucose, no EPS, CR</t>
  </si>
  <si>
    <t>PVT090-A1</t>
  </si>
  <si>
    <t>380-580</t>
  </si>
  <si>
    <t>friable cake</t>
  </si>
  <si>
    <t>IFF12122022-1</t>
  </si>
  <si>
    <t>FDL-107B-T05</t>
  </si>
  <si>
    <t>Glucose, high EPS, CR</t>
  </si>
  <si>
    <t>free-flowing pellets</t>
  </si>
  <si>
    <t>IFF12282022-1</t>
  </si>
  <si>
    <t>FDL-107B-T06</t>
  </si>
  <si>
    <t>sticky to tray bottom</t>
  </si>
  <si>
    <t>IFF10202022-4</t>
  </si>
  <si>
    <t>FDL-107C-T08</t>
  </si>
  <si>
    <t>free-flowing with manual assist</t>
  </si>
  <si>
    <t>IFF12122022-2</t>
  </si>
  <si>
    <t>FDL-107C-T09</t>
  </si>
  <si>
    <t>mostly free-flowing; some softened chunks</t>
  </si>
  <si>
    <t>IFF10202022-5</t>
  </si>
  <si>
    <t>FDL-107D-T12</t>
  </si>
  <si>
    <t>PVT090-A2</t>
  </si>
  <si>
    <t>280-580</t>
  </si>
  <si>
    <t>IFF12122022-3</t>
  </si>
  <si>
    <t>FDL-107D-T13</t>
  </si>
  <si>
    <t>IFF12282022-2</t>
  </si>
  <si>
    <t>FDL-107D-T14</t>
  </si>
  <si>
    <t>collapsed pellets, chunks, softened cake</t>
  </si>
  <si>
    <t>23PT0126-1</t>
  </si>
  <si>
    <t>FDL-105H-T35</t>
  </si>
  <si>
    <t>01/25/2023</t>
  </si>
  <si>
    <t>P010-23-Y005</t>
  </si>
  <si>
    <t>Tryptone + potato peptone, lower top feed rate, no EPS</t>
  </si>
  <si>
    <t>02/03/2023</t>
  </si>
  <si>
    <t>23PT0126-4</t>
  </si>
  <si>
    <t>FDL-105H-T37</t>
  </si>
  <si>
    <t>tryptone + potato peptone, low top feed rate, no EPS, w 0.7% XG</t>
  </si>
  <si>
    <t>light tan; free-flowing pellets, little/no dust</t>
  </si>
  <si>
    <t>23PT0126-2</t>
  </si>
  <si>
    <t>FDL-105K-T42</t>
  </si>
  <si>
    <t>02/15/2023</t>
  </si>
  <si>
    <t>PVT380</t>
  </si>
  <si>
    <t>26 hr</t>
  </si>
  <si>
    <t>light tan/white speckled pellets; free-flowing</t>
  </si>
  <si>
    <t>23PT0126-3</t>
  </si>
  <si>
    <t>FDL-105K-T43</t>
  </si>
  <si>
    <t>23PT0126-5</t>
  </si>
  <si>
    <t>FDL-105K-T44</t>
  </si>
  <si>
    <t>tan/softened chunks of pellets</t>
  </si>
  <si>
    <t>23PT0126-6</t>
  </si>
  <si>
    <t>FDL-105K-T45</t>
  </si>
  <si>
    <t>tan/white speckled pellets; free flowing</t>
  </si>
  <si>
    <t>IFF12282022-3</t>
  </si>
  <si>
    <t>FDL-107A-T01</t>
  </si>
  <si>
    <t>Dec-CR</t>
  </si>
  <si>
    <t>brown, collapsed pellet; free-flowing, dusty</t>
  </si>
  <si>
    <t>IFF12122022-4</t>
  </si>
  <si>
    <t>FDL-107EF-T15</t>
  </si>
  <si>
    <t>IFF-04</t>
  </si>
  <si>
    <t>59 hr</t>
  </si>
  <si>
    <t>light tan/white speckled, free-flowing</t>
  </si>
  <si>
    <t>IFF12282022-4</t>
  </si>
  <si>
    <t>FDL-107EF-T16</t>
  </si>
  <si>
    <t>IFF12282022-5</t>
  </si>
  <si>
    <t>FDL-107H-T19</t>
  </si>
  <si>
    <t>50 hr</t>
  </si>
  <si>
    <t>dark tan/white speckled, free-flowing</t>
  </si>
  <si>
    <t>IFF12122022-5</t>
  </si>
  <si>
    <t>FDL-107IJ-T22</t>
  </si>
  <si>
    <t>light-brown/tan/white speckled, free-flowing</t>
  </si>
  <si>
    <t>IFF12282022-6</t>
  </si>
  <si>
    <t>FDL-107LM-T25</t>
  </si>
  <si>
    <t>OFD9M2</t>
  </si>
  <si>
    <t>51 hr</t>
  </si>
  <si>
    <t>brown/white speckled, free flowing, some chunks</t>
  </si>
  <si>
    <t>IFF12122022-6</t>
  </si>
  <si>
    <t>FDL-107LM-T26</t>
  </si>
  <si>
    <t>54 hr</t>
  </si>
  <si>
    <t>tan/white speckled, free-flowing</t>
  </si>
  <si>
    <t>IFF12282022-7</t>
  </si>
  <si>
    <t>FDL-107K-T30</t>
  </si>
  <si>
    <t>light-brown/white speckled, free-flowing, one chunk/wet spot</t>
  </si>
  <si>
    <t>22PT1013-1</t>
  </si>
  <si>
    <t xml:space="preserve">FDL-105LM-T46 </t>
  </si>
  <si>
    <t>10/13/2022</t>
  </si>
  <si>
    <t>P080-22-Y025</t>
  </si>
  <si>
    <t>Glucose</t>
  </si>
  <si>
    <t>02/24/2023</t>
  </si>
  <si>
    <t>OFD9-110</t>
  </si>
  <si>
    <t>free-flowing, light tan/white pellets with some clumps, no dust</t>
  </si>
  <si>
    <t>&lt;0.02</t>
  </si>
  <si>
    <t>22PT1102-1</t>
  </si>
  <si>
    <t>FDL-105LM-T47</t>
  </si>
  <si>
    <t>P080-22-Y033</t>
  </si>
  <si>
    <t>fre-flowing pellets, light tan/which, with some clumps, no dust</t>
  </si>
  <si>
    <t>22PT1102-4</t>
  </si>
  <si>
    <t>FDL-105N-T49</t>
  </si>
  <si>
    <t>P080-22-Y034</t>
  </si>
  <si>
    <t xml:space="preserve">Greens </t>
  </si>
  <si>
    <t>03/01/2023</t>
  </si>
  <si>
    <t>OFD9M3</t>
  </si>
  <si>
    <t>48 hr</t>
  </si>
  <si>
    <t>tannish-yellow, released as cake with some unassisted breakup into pellets</t>
  </si>
  <si>
    <t>IFF12122022-7</t>
  </si>
  <si>
    <t>FDL-107N-T31</t>
  </si>
  <si>
    <t>02/17/2023</t>
  </si>
  <si>
    <t>light grown/white speckled, free-flowing</t>
  </si>
  <si>
    <t>IFF12282022-8</t>
  </si>
  <si>
    <t>FDL-107N-T33</t>
  </si>
  <si>
    <t>brown/white speckled, free-flowing</t>
  </si>
  <si>
    <t>IFF12122022-8</t>
  </si>
  <si>
    <t>FDL-107P-T35</t>
  </si>
  <si>
    <t>light brown particles, free-flowing</t>
  </si>
  <si>
    <t>IFF12122022-9</t>
  </si>
  <si>
    <t>FDL-107Q-T37</t>
  </si>
  <si>
    <t>03/03/2023</t>
  </si>
  <si>
    <t>IFF-05</t>
  </si>
  <si>
    <t>46 hr</t>
  </si>
  <si>
    <t>tan/white speckled particles, free-flowing</t>
  </si>
  <si>
    <t>IFF12282022-9</t>
  </si>
  <si>
    <t>FDL-111A-T01</t>
  </si>
  <si>
    <t>03/24/2023</t>
  </si>
  <si>
    <t>22 hr</t>
  </si>
  <si>
    <t>23PT0227-4</t>
  </si>
  <si>
    <t>FDL-111A-T02</t>
  </si>
  <si>
    <t>P010-23-Y011</t>
  </si>
  <si>
    <t>Tryptone only</t>
  </si>
  <si>
    <t>tan pellets, free-flowing</t>
  </si>
  <si>
    <t>23PT0227-6</t>
  </si>
  <si>
    <t>FDL-111A-T03</t>
  </si>
  <si>
    <t>P010-23-Y012</t>
  </si>
  <si>
    <t>Peptone only</t>
  </si>
  <si>
    <t>23PT0227-8</t>
  </si>
  <si>
    <t>FDL-111A-T04</t>
  </si>
  <si>
    <t>P010-23-Y012-Con</t>
  </si>
  <si>
    <t>Peptone only, upconcentrated</t>
  </si>
  <si>
    <t>white pellets, free-flowing</t>
  </si>
  <si>
    <t>FDL-111B-T08</t>
  </si>
  <si>
    <t>03/27/2023</t>
  </si>
  <si>
    <t>ESL1010</t>
  </si>
  <si>
    <t>25 hr</t>
  </si>
  <si>
    <t>FDL-111C-T10</t>
  </si>
  <si>
    <t>03/30/2023</t>
  </si>
  <si>
    <t>ESL1020</t>
  </si>
  <si>
    <t>orangey-tan, free-flowing, few sticky clumps</t>
  </si>
  <si>
    <t>FDL-111C-T11</t>
  </si>
  <si>
    <t>FDL-111C-T12</t>
  </si>
  <si>
    <t>IFF12282022-10</t>
  </si>
  <si>
    <t>FDL-111D-T13</t>
  </si>
  <si>
    <t>04/03/2023</t>
  </si>
  <si>
    <t>ESL1130</t>
  </si>
  <si>
    <t>30 hr</t>
  </si>
  <si>
    <t>brown, collapsed pellets</t>
  </si>
  <si>
    <t>FDL-111D-T14</t>
  </si>
  <si>
    <t>FDL-111D-T15</t>
  </si>
  <si>
    <t>medium-tan pellets, free-flowing</t>
  </si>
  <si>
    <t>FDL-111D-T16</t>
  </si>
  <si>
    <t>FDL-111EF-T18</t>
  </si>
  <si>
    <t>04/05/2023</t>
  </si>
  <si>
    <t>ESL1230</t>
  </si>
  <si>
    <t>FDL-111EF-T19</t>
  </si>
  <si>
    <t>medium-tan/white speckled pellets, free-flowing</t>
  </si>
  <si>
    <t>FDL-111EF-T20</t>
  </si>
  <si>
    <t>IFF12282022-11</t>
  </si>
  <si>
    <t>FDL-111G-T21</t>
  </si>
  <si>
    <t>04/07/2023</t>
  </si>
  <si>
    <t>ESL1140</t>
  </si>
  <si>
    <t>medium-tan/white speckled pellets, free-flowing; small particles</t>
  </si>
  <si>
    <t>FDL-111G-T22</t>
  </si>
  <si>
    <t>tan pelelts, free-flowing</t>
  </si>
  <si>
    <t>FDL-111G-T23</t>
  </si>
  <si>
    <t>FDL-111G-T24</t>
  </si>
  <si>
    <t>light-tan pellets, free-flowing</t>
  </si>
  <si>
    <t>IFF12282022-12</t>
  </si>
  <si>
    <t>FDL-111H-T25</t>
  </si>
  <si>
    <t>04/11/2023</t>
  </si>
  <si>
    <t>ESL1240</t>
  </si>
  <si>
    <t>22hr</t>
  </si>
  <si>
    <t>medium-tan/white speckled pellets; free-flowing</t>
  </si>
  <si>
    <t>FDL-111H-T26</t>
  </si>
  <si>
    <t>tan pellets; free flowing</t>
  </si>
  <si>
    <t>FDL-111H-T27</t>
  </si>
  <si>
    <t>FDL-111H-T28</t>
  </si>
  <si>
    <t>light-tan pellets; free flowing</t>
  </si>
  <si>
    <t>23PT0406-KLUB</t>
  </si>
  <si>
    <t>FDL-112A-T01</t>
  </si>
  <si>
    <t>P010-23-Y030</t>
  </si>
  <si>
    <t>Tryptone+Peptone</t>
  </si>
  <si>
    <t>110-550</t>
  </si>
  <si>
    <t>55hr</t>
  </si>
  <si>
    <t>grayish-brown/white speckled pellets, chunks, fines/dust</t>
  </si>
  <si>
    <t>FDL-112B-T23</t>
  </si>
  <si>
    <t>04/14/2023</t>
  </si>
  <si>
    <t>brown/whiteish-tan speckled, free-flowing, some sticky, little dust</t>
  </si>
  <si>
    <t>FDL-112B-T456P</t>
  </si>
  <si>
    <t>brown/whiteish-tan speckled, chunks, sticky pellets, some dust</t>
  </si>
  <si>
    <t>FDL-112B-T456F</t>
  </si>
  <si>
    <t>brown/whiteish-tan speckled, fines</t>
  </si>
  <si>
    <t>FDL-112B-T456B</t>
  </si>
  <si>
    <t>brown/whiteish-tan speckled, chunks</t>
  </si>
  <si>
    <t>FD-23-0010-T1</t>
  </si>
  <si>
    <t>56hr</t>
  </si>
  <si>
    <t>Dry in PA</t>
  </si>
  <si>
    <t>brown/whiteish-tan speckled, free-flowing pellets; minor sticky</t>
  </si>
  <si>
    <t>Mylar bag</t>
  </si>
  <si>
    <t>FD-23-0010-T2</t>
  </si>
  <si>
    <t>FD-23-0010-T3</t>
  </si>
  <si>
    <t>FD-23-0010-T4</t>
  </si>
  <si>
    <t>Brown caking; sticky core, some dust</t>
  </si>
  <si>
    <t>FD-23-0010-T5</t>
  </si>
  <si>
    <t>FD-23-0010-T6</t>
  </si>
  <si>
    <t>23PT0405-KOKO</t>
  </si>
  <si>
    <t>FD-23-0011</t>
  </si>
  <si>
    <t>P010-23-Y028</t>
  </si>
  <si>
    <t>04/17/2023</t>
  </si>
  <si>
    <t>ESL2130</t>
  </si>
  <si>
    <t>58.6hr</t>
  </si>
  <si>
    <t>free-flowing pellets; brown collapse</t>
  </si>
  <si>
    <t>Unique ID</t>
  </si>
  <si>
    <t>Cryo mix</t>
  </si>
  <si>
    <t>Sub-Sample</t>
  </si>
  <si>
    <t>Ferm Condition</t>
  </si>
  <si>
    <t>Storage form</t>
  </si>
  <si>
    <t>Temperature (°C)</t>
  </si>
  <si>
    <t>Container</t>
  </si>
  <si>
    <t>Bulking</t>
  </si>
  <si>
    <t>Desiccant</t>
  </si>
  <si>
    <t>Quantity (g)</t>
  </si>
  <si>
    <t>Sample location</t>
  </si>
  <si>
    <t>Week 0 CFU/g</t>
  </si>
  <si>
    <t>Week 2 CFU/g</t>
  </si>
  <si>
    <t>Week 4 CFU/g</t>
  </si>
  <si>
    <t>Week 8 CFU/g</t>
  </si>
  <si>
    <t>Week 12 CFU/g</t>
  </si>
  <si>
    <t>decay_rate_fitted</t>
  </si>
  <si>
    <t>Rsquared_fitted</t>
  </si>
  <si>
    <t>decay_rate_errbar</t>
  </si>
  <si>
    <t>decay_rate_lower95interval</t>
  </si>
  <si>
    <t>decay_rate_upper95interval</t>
  </si>
  <si>
    <t>estimate_day_2e10</t>
  </si>
  <si>
    <t>Week 0 Aw</t>
  </si>
  <si>
    <t>Week 2 Aw</t>
  </si>
  <si>
    <t>Week 4 Aw</t>
  </si>
  <si>
    <t>Week 8 Aw</t>
  </si>
  <si>
    <t>Week 12 Aw</t>
  </si>
  <si>
    <t>IFF09152022-1</t>
  </si>
  <si>
    <t>FDL-099A</t>
  </si>
  <si>
    <t>PVT</t>
  </si>
  <si>
    <t>pellet_21_mylar_n</t>
  </si>
  <si>
    <t>Greens, high EPS</t>
  </si>
  <si>
    <t>Pellet</t>
  </si>
  <si>
    <t>Mylar</t>
  </si>
  <si>
    <t>BINDER @D120</t>
  </si>
  <si>
    <t>pellet_21_mylar_cacl2</t>
  </si>
  <si>
    <t>2%CaCl2</t>
  </si>
  <si>
    <t>unbulked powder_21_mylar_n</t>
  </si>
  <si>
    <t>Unbulked powder</t>
  </si>
  <si>
    <t>5%SIO2</t>
  </si>
  <si>
    <t>bulked powder, pre-dried bulking_21_mylar_n</t>
  </si>
  <si>
    <t>Bulked powder, pre-dried bulking</t>
  </si>
  <si>
    <t>bulked powder, w/o sio2_21_mylar_n</t>
  </si>
  <si>
    <t>Bulked powder, w/o SiO2</t>
  </si>
  <si>
    <t>bulked powder, pre-dried bulking w/o sio2_21_mylar_n</t>
  </si>
  <si>
    <t>Bulked powder, pre-dried bulking w/o SiO2</t>
  </si>
  <si>
    <t>bulked powder_21_mylar_n</t>
  </si>
  <si>
    <t>Bulked powder</t>
  </si>
  <si>
    <t>IFF09152022-2</t>
  </si>
  <si>
    <t>FDL-099D</t>
  </si>
  <si>
    <t>pellet_4_mylar_n</t>
  </si>
  <si>
    <t>Deli case @ D120</t>
  </si>
  <si>
    <t>IFF09152022-3</t>
  </si>
  <si>
    <t>FDL-099EF</t>
  </si>
  <si>
    <t>IFF10202022-1</t>
  </si>
  <si>
    <t>FDL-101A1</t>
  </si>
  <si>
    <t>IFF10202022-2</t>
  </si>
  <si>
    <t>FDL-101B1</t>
  </si>
  <si>
    <t>T+P, 0.7% XG</t>
  </si>
  <si>
    <t>bulked powder_4_mylar_n</t>
  </si>
  <si>
    <t>T+P, high EPS</t>
  </si>
  <si>
    <t>Glucose, high EPS</t>
  </si>
  <si>
    <t>P only</t>
  </si>
  <si>
    <t>FDL-105EF-T22</t>
  </si>
  <si>
    <t>T+P, no EPS</t>
  </si>
  <si>
    <t>Incubator @ D120</t>
  </si>
  <si>
    <t>FDL-105EF-T23</t>
  </si>
  <si>
    <t>FDL-105EF-T24</t>
  </si>
  <si>
    <t>T only</t>
  </si>
  <si>
    <t>FDL-105EF-T25</t>
  </si>
  <si>
    <t>FDL-105EF-T26</t>
  </si>
  <si>
    <t>FDL-105EF-T27</t>
  </si>
  <si>
    <t>FDL-105EF-T29</t>
  </si>
  <si>
    <t>FDL-105G-T30</t>
  </si>
  <si>
    <t>FDL-105G-T31</t>
  </si>
  <si>
    <t>FDL-105G-T32</t>
  </si>
  <si>
    <t>FDL-105G-T33</t>
  </si>
  <si>
    <t>FDL-105EF-T24-CC1</t>
  </si>
  <si>
    <t>FDL-105EF-T24-CC2</t>
  </si>
  <si>
    <t>10%CaCl2</t>
  </si>
  <si>
    <t>FDL-105EF-T24-SO1</t>
  </si>
  <si>
    <t>10%SIO2</t>
  </si>
  <si>
    <t>FDL-105EF-T24-SO2</t>
  </si>
  <si>
    <t>25%SIO2</t>
  </si>
  <si>
    <t>FDL-105EF-T24-TMC1</t>
  </si>
  <si>
    <t>5%TMC</t>
  </si>
  <si>
    <t>FDL-105EF-T24-TMC2</t>
  </si>
  <si>
    <t>25%TMC</t>
  </si>
  <si>
    <t>FDL-105B-T10-CC1</t>
  </si>
  <si>
    <t>FDL-105B-T10-CC2</t>
  </si>
  <si>
    <t>FDL-105EF-T26-CC1</t>
  </si>
  <si>
    <t>FDL-105EF-T26-CC2</t>
  </si>
  <si>
    <t>Deli case @ D121</t>
  </si>
  <si>
    <t>FDL-105EF-T26-TMC1</t>
  </si>
  <si>
    <t>10%TMC</t>
  </si>
  <si>
    <t>Deli case @ D122</t>
  </si>
  <si>
    <t>FDL-105EF-T26-TMC2</t>
  </si>
  <si>
    <t>Deli case @ D123</t>
  </si>
  <si>
    <t>FDL-105EF-T26-SO1</t>
  </si>
  <si>
    <t>Deli case @ D124</t>
  </si>
  <si>
    <t>FDL-105EF-T26-SO2</t>
  </si>
  <si>
    <t>Deli case @ D125</t>
  </si>
  <si>
    <t>FDL-105EF-T22-Try</t>
  </si>
  <si>
    <t>Tryptone</t>
  </si>
  <si>
    <t>Deli case @ D126</t>
  </si>
  <si>
    <t>FDL-105EF-T24-SKP</t>
  </si>
  <si>
    <t>Deli case @ D127</t>
  </si>
  <si>
    <t>FDL-105B-T10-SKP</t>
  </si>
  <si>
    <t>FDL-105B-T10-Try</t>
  </si>
  <si>
    <t>FDL-105C-T15-SKP</t>
  </si>
  <si>
    <t>FDL-105C-T15-Try</t>
  </si>
  <si>
    <t>FDL-105C-T14-Try</t>
  </si>
  <si>
    <t>FDL-105D-T20-Try</t>
  </si>
  <si>
    <t>FDL-105G-T33-Try</t>
  </si>
  <si>
    <t xml:space="preserve">FDL-111EF-T18 </t>
  </si>
  <si>
    <t>FDL-111EF-T18-CC1TMC1</t>
  </si>
  <si>
    <t>5%TMC+2%CaCl2</t>
  </si>
  <si>
    <t>FDL-111EF-T18-TMC1</t>
  </si>
  <si>
    <t>FDL-111EF-T19-CC1TMC1</t>
  </si>
  <si>
    <t>FDL-111EF-T19-TMC1</t>
  </si>
  <si>
    <t>FDL-111G-T22-CC1TMC1</t>
  </si>
  <si>
    <t>FDL-111G-T22-TMC1</t>
  </si>
  <si>
    <t xml:space="preserve">FDL-111G-T23 </t>
  </si>
  <si>
    <t>FDL-111G-T23-CC1TMC1</t>
  </si>
  <si>
    <t>FDL-111G-T23-TMC1</t>
  </si>
  <si>
    <t>FDL-111A-T2</t>
  </si>
  <si>
    <t>FDL-111A-T2-TMC1</t>
  </si>
  <si>
    <t>FDL-111A-T2-TMC2</t>
  </si>
  <si>
    <t>FDL-111A-T3</t>
  </si>
  <si>
    <t>FDL-111A-T3-TMC1</t>
  </si>
  <si>
    <t>FDL-111A-T3-TMC2</t>
  </si>
  <si>
    <t>FDL-111A-T4</t>
  </si>
  <si>
    <t>P only, con</t>
  </si>
  <si>
    <t>FDL-111A-T4-TMC1</t>
  </si>
  <si>
    <t>FDL-111A-T4-TMC2</t>
  </si>
  <si>
    <t>FDL-111B-T8-CC1</t>
  </si>
  <si>
    <t>2% CaCl2</t>
  </si>
  <si>
    <t>FDL-111B-T8-TMC1</t>
  </si>
  <si>
    <t>FDL-111B-T8</t>
  </si>
  <si>
    <t>FDL-111D-T14-CC1</t>
  </si>
  <si>
    <t>FDL-111D-T14-TMC1</t>
  </si>
  <si>
    <t>FDL-111D-T15-CC1</t>
  </si>
  <si>
    <t>FDL-111D-T15-TMC1</t>
  </si>
  <si>
    <t>T+P</t>
  </si>
  <si>
    <t>5%TMC+2% CaCl2</t>
  </si>
  <si>
    <t>FDL-111G T23 TMC1</t>
  </si>
  <si>
    <t>A</t>
  </si>
  <si>
    <t>Greens, high EPS, CR</t>
  </si>
  <si>
    <t>Greens, high EPS, CR broth</t>
  </si>
  <si>
    <t>no</t>
  </si>
  <si>
    <t>Days_W0</t>
  </si>
  <si>
    <t>Days_W1</t>
  </si>
  <si>
    <t>Days_W2</t>
  </si>
  <si>
    <t>Days_W3</t>
  </si>
  <si>
    <t>Days_W4</t>
  </si>
  <si>
    <t>Days_W5</t>
  </si>
  <si>
    <t>Days_W6</t>
  </si>
  <si>
    <t>Days_W7</t>
  </si>
  <si>
    <t>Days_W8</t>
  </si>
  <si>
    <t>YI_W0</t>
  </si>
  <si>
    <t>YI_W1</t>
  </si>
  <si>
    <t>YI_W2</t>
  </si>
  <si>
    <t>YI_W3</t>
  </si>
  <si>
    <t>YI_W4</t>
  </si>
  <si>
    <t>YI_W5</t>
  </si>
  <si>
    <t>YI_W6</t>
  </si>
  <si>
    <t>YI_W7</t>
  </si>
  <si>
    <t>YI_W8</t>
  </si>
  <si>
    <t>DR_W0</t>
  </si>
  <si>
    <t>DR_W1</t>
  </si>
  <si>
    <t>DR_W2</t>
  </si>
  <si>
    <t>DR_W3</t>
  </si>
  <si>
    <t>DR_W4</t>
  </si>
  <si>
    <t>DR_W5</t>
  </si>
  <si>
    <t>DR_W6</t>
  </si>
  <si>
    <t>DR_W7</t>
  </si>
  <si>
    <t>DR_W8</t>
  </si>
  <si>
    <t>Est_W0</t>
  </si>
  <si>
    <t>Est_W1</t>
  </si>
  <si>
    <t>Est_W2</t>
  </si>
  <si>
    <t>Est_W3</t>
  </si>
  <si>
    <t>Est_W4</t>
  </si>
  <si>
    <t>Est_W5</t>
  </si>
  <si>
    <t>Est_W6</t>
  </si>
  <si>
    <t>Est_W7</t>
  </si>
  <si>
    <t>Est_W8</t>
  </si>
  <si>
    <t>Glucose, CR</t>
  </si>
  <si>
    <t>Glucose, CR broth</t>
  </si>
  <si>
    <t>B</t>
  </si>
  <si>
    <t>T + P, 0.7% XG</t>
  </si>
  <si>
    <t>C</t>
  </si>
  <si>
    <t>T + P</t>
  </si>
  <si>
    <t>n/a</t>
  </si>
  <si>
    <t>D</t>
  </si>
  <si>
    <t>E</t>
  </si>
  <si>
    <t xml:space="preserve">T + P </t>
  </si>
  <si>
    <t>F</t>
  </si>
  <si>
    <t>FDL-105B-T10-21CW4</t>
  </si>
  <si>
    <t>yes</t>
  </si>
  <si>
    <t>FDL-105B-T11-21CW4</t>
  </si>
  <si>
    <t>FDL-105C-T14-21CW4</t>
  </si>
  <si>
    <t>FDL-105D-T19-21CW4</t>
  </si>
  <si>
    <t>FDL-105D-T20-21CW4</t>
  </si>
  <si>
    <t>G</t>
  </si>
  <si>
    <t>FDL-105C-T15-21CW8</t>
  </si>
  <si>
    <t>FDL-105C-T18-4CW8</t>
  </si>
  <si>
    <t>FDL-105D-T21-21CW8</t>
  </si>
  <si>
    <t>FDL-105EF-T24-21CW4</t>
  </si>
  <si>
    <t>FDL-105EF-T24-4CW4</t>
  </si>
  <si>
    <t>FDL-105G-T33-21CW4</t>
  </si>
  <si>
    <t>H</t>
  </si>
  <si>
    <t>ABKLUB021923AA-1</t>
  </si>
  <si>
    <t>ABKLUB021923AA-2</t>
  </si>
  <si>
    <t>I</t>
  </si>
  <si>
    <t>EDKLUB02202302</t>
  </si>
  <si>
    <t>EDKOKO02222302</t>
  </si>
  <si>
    <t>Tryptone + potato peptone, lower top feed rate, 0.7% XG</t>
  </si>
  <si>
    <t>T+P, XG</t>
  </si>
  <si>
    <t>J</t>
  </si>
  <si>
    <t>FDL-105C-T15-21CW12</t>
  </si>
  <si>
    <t>FDL-105EF-T24-21CW8</t>
  </si>
  <si>
    <t>K</t>
  </si>
  <si>
    <t>L</t>
  </si>
  <si>
    <t>M</t>
  </si>
  <si>
    <t>FDL-111A-T02-TMC1</t>
  </si>
  <si>
    <t>FDL-111A-T03-TMC1</t>
  </si>
  <si>
    <t>FDL-111A-T04-TMC1</t>
  </si>
  <si>
    <t>O</t>
  </si>
  <si>
    <t>id</t>
  </si>
  <si>
    <t>FD_recipe</t>
  </si>
  <si>
    <t>FC</t>
  </si>
  <si>
    <t>Aged</t>
  </si>
  <si>
    <t>Aged_Temp</t>
  </si>
  <si>
    <t>Aged_Weeks</t>
  </si>
  <si>
    <t>DR_latest</t>
  </si>
  <si>
    <t>Est_latest</t>
  </si>
  <si>
    <t>ExtenderCFU_ml</t>
  </si>
  <si>
    <t>ExtenderCFU_ml_SD</t>
  </si>
  <si>
    <t>Application_loss_CFU</t>
  </si>
  <si>
    <t>W0</t>
  </si>
  <si>
    <t>W1</t>
  </si>
  <si>
    <t>W2</t>
  </si>
  <si>
    <t>W3</t>
  </si>
  <si>
    <t>W4</t>
  </si>
  <si>
    <t>W5</t>
  </si>
  <si>
    <t>W6</t>
  </si>
  <si>
    <t>W7</t>
  </si>
  <si>
    <t>W8</t>
  </si>
  <si>
    <t>SD0</t>
  </si>
  <si>
    <t>SD1</t>
  </si>
  <si>
    <t>SD2</t>
  </si>
  <si>
    <t>SD3</t>
  </si>
  <si>
    <t>SD4</t>
  </si>
  <si>
    <t>SD5</t>
  </si>
  <si>
    <t>SD6</t>
  </si>
  <si>
    <t>SD7</t>
  </si>
  <si>
    <t>SD8</t>
  </si>
  <si>
    <t>Plated_W0</t>
  </si>
  <si>
    <t>Plated_W1</t>
  </si>
  <si>
    <t>Plated_W2</t>
  </si>
  <si>
    <t>Plated_W3</t>
  </si>
  <si>
    <t>Plated_W4</t>
  </si>
  <si>
    <t>Plated_W5</t>
  </si>
  <si>
    <t>Plated_W6</t>
  </si>
  <si>
    <t>Plated_W7</t>
  </si>
  <si>
    <t>Plated_W8</t>
  </si>
  <si>
    <t>log_W0</t>
  </si>
  <si>
    <t>log_W1</t>
  </si>
  <si>
    <t>log_W2</t>
  </si>
  <si>
    <t>log_W3</t>
  </si>
  <si>
    <t>log_W4</t>
  </si>
  <si>
    <t>log_W5</t>
  </si>
  <si>
    <t>log_W6</t>
  </si>
  <si>
    <t>log_W7</t>
  </si>
  <si>
    <t>log_W8</t>
  </si>
  <si>
    <t>FD Sample ID</t>
  </si>
  <si>
    <t>Purpose</t>
  </si>
  <si>
    <t>Operator</t>
  </si>
  <si>
    <t>Plating Date</t>
  </si>
  <si>
    <t xml:space="preserve">Week </t>
  </si>
  <si>
    <t>Replicate</t>
  </si>
  <si>
    <t>10^8</t>
  </si>
  <si>
    <t>10^7</t>
  </si>
  <si>
    <t>10^6</t>
  </si>
  <si>
    <t>10^5</t>
  </si>
  <si>
    <t>10^4</t>
  </si>
  <si>
    <t>10^3</t>
  </si>
  <si>
    <t>10^2</t>
  </si>
  <si>
    <t>10^1</t>
  </si>
  <si>
    <t>Average CFU/g or ml</t>
  </si>
  <si>
    <t>CFU/g or ml SD</t>
  </si>
  <si>
    <t>Experimental Notes</t>
  </si>
  <si>
    <t>In-Pack</t>
  </si>
  <si>
    <t>KH</t>
  </si>
  <si>
    <t>20230321</t>
  </si>
  <si>
    <t>Week 1</t>
  </si>
  <si>
    <t>experimental entry</t>
  </si>
  <si>
    <t>23PT0119-5-CC1</t>
  </si>
  <si>
    <t/>
  </si>
  <si>
    <t>Seed Treatment</t>
  </si>
  <si>
    <t>Week</t>
  </si>
  <si>
    <t>Agar</t>
  </si>
  <si>
    <t>IFF PDA</t>
  </si>
  <si>
    <t>TekNova PDA</t>
  </si>
  <si>
    <t>W9</t>
  </si>
  <si>
    <t>W10</t>
  </si>
  <si>
    <t>W11</t>
  </si>
  <si>
    <t>W12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</si>
</sst>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0"/>
      <color rgb="FF212529"/>
      <name val="Var(--bs-font-monospace)"/>
    </font>
    <font>
      <sz val="9"/>
      <color theme="1"/>
      <name val="Arial"/>
      <family val="2"/>
    </font>
    <font>
      <sz val="11"/>
      <color rgb="FFFF00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7" fillId="0" borderId="0"/>
  </cellStyleXfs>
  <cellXfs count="135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49" fontId="0" fillId="0" borderId="1" xfId="0" applyNumberFormat="1" applyBorder="1"/>
    <xf numFmtId="0" fontId="0" fillId="0" borderId="1" xfId="0" applyBorder="1" applyAlignment="1">
      <alignment horizontal="right"/>
    </xf>
    <xf numFmtId="0" fontId="2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0" borderId="1" xfId="0" applyFont="1" applyBorder="1"/>
    <xf numFmtId="11" fontId="1" fillId="0" borderId="1" xfId="0" applyNumberFormat="1" applyFont="1" applyBorder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right"/>
    </xf>
    <xf numFmtId="0" fontId="2" fillId="0" borderId="1" xfId="0" applyFont="1" applyBorder="1"/>
    <xf numFmtId="0" fontId="2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1" fontId="2" fillId="0" borderId="1" xfId="0" applyNumberFormat="1" applyFont="1" applyBorder="1" applyAlignment="1">
      <alignment horizontal="left"/>
    </xf>
    <xf numFmtId="11" fontId="0" fillId="0" borderId="1" xfId="0" applyNumberFormat="1" applyBorder="1" applyAlignment="1">
      <alignment horizontal="right" vertical="center"/>
    </xf>
    <xf numFmtId="0" fontId="2" fillId="0" borderId="0" xfId="0" applyFont="1"/>
    <xf numFmtId="0" fontId="5" fillId="0" borderId="1" xfId="0" applyFont="1" applyBorder="1"/>
    <xf numFmtId="11" fontId="0" fillId="0" borderId="1" xfId="0" applyNumberFormat="1" applyBorder="1" applyAlignment="1">
      <alignment horizontal="right"/>
    </xf>
    <xf numFmtId="0" fontId="6" fillId="2" borderId="0" xfId="0" applyFont="1" applyFill="1"/>
    <xf numFmtId="11" fontId="6" fillId="2" borderId="0" xfId="0" applyNumberFormat="1" applyFont="1" applyFill="1"/>
    <xf numFmtId="0" fontId="6" fillId="2" borderId="0" xfId="0" applyFont="1" applyFill="1" applyAlignment="1">
      <alignment wrapText="1"/>
    </xf>
    <xf numFmtId="11" fontId="0" fillId="0" borderId="0" xfId="0" applyNumberFormat="1" applyAlignment="1">
      <alignment wrapText="1"/>
    </xf>
    <xf numFmtId="49" fontId="6" fillId="2" borderId="0" xfId="0" applyNumberFormat="1" applyFont="1" applyFill="1"/>
    <xf numFmtId="49" fontId="0" fillId="0" borderId="0" xfId="0" applyNumberFormat="1"/>
    <xf numFmtId="0" fontId="7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 vertical="center"/>
    </xf>
    <xf numFmtId="2" fontId="2" fillId="0" borderId="0" xfId="0" applyNumberFormat="1" applyFont="1"/>
    <xf numFmtId="2" fontId="0" fillId="0" borderId="0" xfId="0" applyNumberFormat="1"/>
    <xf numFmtId="0" fontId="12" fillId="4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left"/>
    </xf>
    <xf numFmtId="11" fontId="14" fillId="5" borderId="3" xfId="0" applyNumberFormat="1" applyFont="1" applyFill="1" applyBorder="1" applyAlignment="1">
      <alignment horizontal="center" vertical="center"/>
    </xf>
    <xf numFmtId="14" fontId="14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/>
    <xf numFmtId="11" fontId="10" fillId="5" borderId="3" xfId="0" applyNumberFormat="1" applyFont="1" applyFill="1" applyBorder="1"/>
    <xf numFmtId="14" fontId="10" fillId="3" borderId="3" xfId="0" applyNumberFormat="1" applyFont="1" applyFill="1" applyBorder="1"/>
    <xf numFmtId="0" fontId="13" fillId="4" borderId="3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11" fontId="15" fillId="5" borderId="3" xfId="0" applyNumberFormat="1" applyFont="1" applyFill="1" applyBorder="1" applyAlignment="1">
      <alignment horizontal="center" vertical="center"/>
    </xf>
    <xf numFmtId="14" fontId="15" fillId="3" borderId="3" xfId="0" applyNumberFormat="1" applyFont="1" applyFill="1" applyBorder="1" applyAlignment="1">
      <alignment horizontal="center" vertical="center"/>
    </xf>
    <xf numFmtId="14" fontId="9" fillId="3" borderId="3" xfId="0" applyNumberFormat="1" applyFont="1" applyFill="1" applyBorder="1" applyAlignment="1">
      <alignment horizontal="center" vertical="center"/>
    </xf>
    <xf numFmtId="2" fontId="0" fillId="4" borderId="3" xfId="0" applyNumberFormat="1" applyFill="1" applyBorder="1"/>
    <xf numFmtId="11" fontId="0" fillId="5" borderId="3" xfId="0" applyNumberFormat="1" applyFill="1" applyBorder="1"/>
    <xf numFmtId="0" fontId="9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0" fillId="0" borderId="3" xfId="0" applyBorder="1"/>
    <xf numFmtId="11" fontId="2" fillId="5" borderId="3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11" fontId="16" fillId="5" borderId="3" xfId="0" applyNumberFormat="1" applyFont="1" applyFill="1" applyBorder="1" applyAlignment="1">
      <alignment horizontal="center" vertical="center" readingOrder="1"/>
    </xf>
    <xf numFmtId="2" fontId="0" fillId="4" borderId="3" xfId="0" applyNumberFormat="1" applyFill="1" applyBorder="1" applyAlignment="1">
      <alignment horizontal="center" vertical="center"/>
    </xf>
    <xf numFmtId="11" fontId="5" fillId="5" borderId="3" xfId="0" applyNumberFormat="1" applyFont="1" applyFill="1" applyBorder="1" applyAlignment="1">
      <alignment horizontal="center" vertical="center"/>
    </xf>
    <xf numFmtId="14" fontId="5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1" fontId="0" fillId="5" borderId="3" xfId="0" applyNumberFormat="1" applyFill="1" applyBorder="1" applyAlignment="1">
      <alignment horizontal="center" vertical="center"/>
    </xf>
    <xf numFmtId="11" fontId="10" fillId="5" borderId="3" xfId="0" applyNumberFormat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/>
    <xf numFmtId="164" fontId="2" fillId="4" borderId="3" xfId="0" applyNumberFormat="1" applyFont="1" applyFill="1" applyBorder="1" applyAlignment="1">
      <alignment horizontal="center" vertical="center"/>
    </xf>
    <xf numFmtId="164" fontId="16" fillId="4" borderId="3" xfId="0" applyNumberFormat="1" applyFont="1" applyFill="1" applyBorder="1" applyAlignment="1">
      <alignment horizontal="center" vertical="center" readingOrder="1"/>
    </xf>
    <xf numFmtId="13" fontId="15" fillId="5" borderId="3" xfId="0" applyNumberFormat="1" applyFont="1" applyFill="1" applyBorder="1" applyAlignment="1">
      <alignment horizontal="center" vertical="center"/>
    </xf>
    <xf numFmtId="165" fontId="2" fillId="0" borderId="0" xfId="0" applyNumberFormat="1" applyFont="1"/>
    <xf numFmtId="165" fontId="0" fillId="0" borderId="0" xfId="0" applyNumberFormat="1"/>
    <xf numFmtId="11" fontId="0" fillId="5" borderId="3" xfId="0" applyNumberFormat="1" applyFill="1" applyBorder="1" applyAlignment="1">
      <alignment horizontal="center"/>
    </xf>
    <xf numFmtId="11" fontId="10" fillId="5" borderId="3" xfId="0" applyNumberFormat="1" applyFont="1" applyFill="1" applyBorder="1" applyAlignment="1">
      <alignment horizontal="center"/>
    </xf>
    <xf numFmtId="11" fontId="10" fillId="5" borderId="3" xfId="0" applyNumberFormat="1" applyFont="1" applyFill="1" applyBorder="1" applyAlignment="1">
      <alignment vertical="center"/>
    </xf>
    <xf numFmtId="49" fontId="0" fillId="0" borderId="3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11" fontId="2" fillId="0" borderId="1" xfId="0" applyNumberFormat="1" applyFont="1" applyBorder="1" applyAlignment="1">
      <alignment horizontal="left" vertical="center"/>
    </xf>
    <xf numFmtId="10" fontId="2" fillId="0" borderId="1" xfId="0" applyNumberFormat="1" applyFont="1" applyBorder="1" applyAlignment="1">
      <alignment horizontal="left" vertical="center"/>
    </xf>
    <xf numFmtId="2" fontId="2" fillId="0" borderId="1" xfId="0" applyNumberFormat="1" applyFont="1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1" fontId="0" fillId="0" borderId="1" xfId="0" applyNumberFormat="1" applyBorder="1" applyAlignment="1">
      <alignment horizontal="left" vertical="center"/>
    </xf>
    <xf numFmtId="10" fontId="0" fillId="0" borderId="1" xfId="0" applyNumberFormat="1" applyBorder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14" fontId="10" fillId="0" borderId="1" xfId="0" applyNumberFormat="1" applyFont="1" applyBorder="1" applyAlignment="1">
      <alignment horizontal="left" vertical="center"/>
    </xf>
    <xf numFmtId="11" fontId="10" fillId="0" borderId="1" xfId="0" applyNumberFormat="1" applyFont="1" applyBorder="1" applyAlignment="1">
      <alignment horizontal="left" vertical="center"/>
    </xf>
    <xf numFmtId="49" fontId="10" fillId="0" borderId="1" xfId="0" applyNumberFormat="1" applyFont="1" applyBorder="1" applyAlignment="1">
      <alignment horizontal="left" vertical="center"/>
    </xf>
    <xf numFmtId="10" fontId="10" fillId="0" borderId="1" xfId="0" applyNumberFormat="1" applyFont="1" applyBorder="1" applyAlignment="1">
      <alignment horizontal="left" vertical="center"/>
    </xf>
    <xf numFmtId="2" fontId="10" fillId="0" borderId="1" xfId="0" applyNumberFormat="1" applyFont="1" applyBorder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10" fontId="10" fillId="0" borderId="0" xfId="0" applyNumberFormat="1" applyFont="1" applyAlignment="1">
      <alignment horizontal="left" vertical="center"/>
    </xf>
    <xf numFmtId="11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10" fontId="0" fillId="0" borderId="1" xfId="0" applyNumberFormat="1" applyBorder="1" applyAlignment="1">
      <alignment horizontal="left"/>
    </xf>
    <xf numFmtId="2" fontId="0" fillId="0" borderId="1" xfId="0" applyNumberFormat="1" applyBorder="1" applyAlignment="1">
      <alignment horizontal="left"/>
    </xf>
    <xf numFmtId="10" fontId="0" fillId="0" borderId="1" xfId="0" applyNumberFormat="1" applyBorder="1"/>
    <xf numFmtId="2" fontId="0" fillId="0" borderId="1" xfId="0" applyNumberFormat="1" applyBorder="1"/>
    <xf numFmtId="14" fontId="0" fillId="0" borderId="1" xfId="0" applyNumberFormat="1" applyBorder="1"/>
    <xf numFmtId="11" fontId="0" fillId="0" borderId="0" xfId="0" applyNumberFormat="1" applyAlignment="1">
      <alignment horizontal="left"/>
    </xf>
    <xf numFmtId="0" fontId="9" fillId="0" borderId="0" xfId="0" applyFont="1" applyAlignment="1">
      <alignment horizontal="center" vertical="center"/>
    </xf>
    <xf numFmtId="11" fontId="15" fillId="6" borderId="3" xfId="0" applyNumberFormat="1" applyFont="1" applyFill="1" applyBorder="1" applyAlignment="1">
      <alignment horizontal="center" vertical="center"/>
    </xf>
    <xf numFmtId="14" fontId="9" fillId="6" borderId="3" xfId="0" applyNumberFormat="1" applyFont="1" applyFill="1" applyBorder="1" applyAlignment="1">
      <alignment horizontal="center" vertical="center"/>
    </xf>
    <xf numFmtId="14" fontId="5" fillId="6" borderId="3" xfId="0" applyNumberFormat="1" applyFont="1" applyFill="1" applyBorder="1" applyAlignment="1">
      <alignment horizontal="center" vertical="center"/>
    </xf>
    <xf numFmtId="11" fontId="5" fillId="6" borderId="3" xfId="0" applyNumberFormat="1" applyFont="1" applyFill="1" applyBorder="1" applyAlignment="1">
      <alignment horizontal="center" vertical="center"/>
    </xf>
    <xf numFmtId="11" fontId="10" fillId="7" borderId="3" xfId="0" applyNumberFormat="1" applyFont="1" applyFill="1" applyBorder="1"/>
    <xf numFmtId="11" fontId="5" fillId="7" borderId="3" xfId="0" applyNumberFormat="1" applyFont="1" applyFill="1" applyBorder="1" applyAlignment="1">
      <alignment horizontal="center" vertical="center"/>
    </xf>
    <xf numFmtId="11" fontId="15" fillId="7" borderId="3" xfId="0" applyNumberFormat="1" applyFont="1" applyFill="1" applyBorder="1" applyAlignment="1">
      <alignment horizontal="center" vertical="center"/>
    </xf>
    <xf numFmtId="14" fontId="9" fillId="7" borderId="3" xfId="0" applyNumberFormat="1" applyFont="1" applyFill="1" applyBorder="1" applyAlignment="1">
      <alignment horizontal="center" vertical="center"/>
    </xf>
    <xf numFmtId="14" fontId="15" fillId="7" borderId="3" xfId="0" applyNumberFormat="1" applyFont="1" applyFill="1" applyBorder="1" applyAlignment="1">
      <alignment horizontal="center" vertical="center"/>
    </xf>
    <xf numFmtId="14" fontId="15" fillId="6" borderId="3" xfId="0" applyNumberFormat="1" applyFont="1" applyFill="1" applyBorder="1" applyAlignment="1">
      <alignment horizontal="center" vertical="center"/>
    </xf>
    <xf numFmtId="14" fontId="5" fillId="7" borderId="3" xfId="0" applyNumberFormat="1" applyFont="1" applyFill="1" applyBorder="1" applyAlignment="1">
      <alignment horizontal="center" vertical="center"/>
    </xf>
    <xf numFmtId="11" fontId="10" fillId="6" borderId="3" xfId="0" applyNumberFormat="1" applyFont="1" applyFill="1" applyBorder="1"/>
    <xf numFmtId="11" fontId="5" fillId="8" borderId="3" xfId="0" applyNumberFormat="1" applyFont="1" applyFill="1" applyBorder="1" applyAlignment="1">
      <alignment horizontal="center" vertical="center"/>
    </xf>
    <xf numFmtId="11" fontId="15" fillId="8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11" fontId="0" fillId="0" borderId="0" xfId="0" applyNumberFormat="1" applyAlignment="1">
      <alignment vertical="center" wrapText="1"/>
    </xf>
    <xf numFmtId="0" fontId="18" fillId="0" borderId="0" xfId="0" applyFont="1" applyAlignment="1">
      <alignment vertical="top"/>
    </xf>
    <xf numFmtId="166" fontId="18" fillId="0" borderId="0" xfId="0" applyNumberFormat="1" applyFont="1" applyAlignment="1">
      <alignment horizontal="center" vertical="top"/>
    </xf>
    <xf numFmtId="0" fontId="9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1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7CCF88DA-8256-4291-A26F-196E5883D1F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6</xdr:row>
          <xdr:rowOff>88900</xdr:rowOff>
        </xdr:from>
        <xdr:to>
          <xdr:col>5</xdr:col>
          <xdr:colOff>393700</xdr:colOff>
          <xdr:row>6</xdr:row>
          <xdr:rowOff>850900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CFU Plating Data Entry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9</xdr:row>
          <xdr:rowOff>76200</xdr:rowOff>
        </xdr:from>
        <xdr:to>
          <xdr:col>5</xdr:col>
          <xdr:colOff>393700</xdr:colOff>
          <xdr:row>13</xdr:row>
          <xdr:rowOff>101600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MPN Data Entry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4DBA-476E-42F3-9EB0-B7E97705734B}">
  <sheetPr codeName="Sheet5"/>
  <dimension ref="I7"/>
  <sheetViews>
    <sheetView workbookViewId="0">
      <selection activeCell="I15" sqref="I15"/>
    </sheetView>
  </sheetViews>
  <sheetFormatPr baseColWidth="10" defaultColWidth="8.83203125" defaultRowHeight="15"/>
  <cols>
    <col min="9" max="9" width="73.33203125" customWidth="1"/>
  </cols>
  <sheetData>
    <row r="7" spans="9:9" ht="81">
      <c r="I7" s="33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6</xdr:row>
                    <xdr:rowOff>88900</xdr:rowOff>
                  </from>
                  <to>
                    <xdr:col>5</xdr:col>
                    <xdr:colOff>393700</xdr:colOff>
                    <xdr:row>6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9</xdr:row>
                    <xdr:rowOff>76200</xdr:rowOff>
                  </from>
                  <to>
                    <xdr:col>5</xdr:col>
                    <xdr:colOff>393700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E335A-AEE2-486F-94E1-4BC2D93EDABE}">
  <sheetPr codeName="Sheet1"/>
  <dimension ref="A1"/>
  <sheetViews>
    <sheetView workbookViewId="0"/>
  </sheetViews>
  <sheetFormatPr baseColWidth="10" defaultColWidth="8.832031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42FC-3017-407D-A88D-41F8FC29D08A}">
  <sheetPr codeName="Sheet7"/>
  <dimension ref="A1:AI116"/>
  <sheetViews>
    <sheetView zoomScale="110" zoomScaleNormal="110" workbookViewId="0">
      <pane xSplit="3" ySplit="1" topLeftCell="X69" activePane="bottomRight" state="frozen"/>
      <selection pane="topRight" activeCell="D1" sqref="D1"/>
      <selection pane="bottomLeft" activeCell="A2" sqref="A2"/>
      <selection pane="bottomRight" activeCell="A81" activeCellId="2" sqref="A82:XFD82 A86:XFD86 A81:XFD81"/>
    </sheetView>
  </sheetViews>
  <sheetFormatPr baseColWidth="10" defaultColWidth="8.83203125" defaultRowHeight="15"/>
  <cols>
    <col min="1" max="1" width="19.6640625" style="2" bestFit="1" customWidth="1"/>
    <col min="2" max="2" width="31.6640625" style="2" customWidth="1"/>
    <col min="3" max="3" width="16.83203125" style="2" bestFit="1" customWidth="1"/>
    <col min="4" max="4" width="10.5" style="4" customWidth="1"/>
    <col min="5" max="5" width="16.1640625" style="2" bestFit="1" customWidth="1"/>
    <col min="6" max="6" width="19.5" style="2" bestFit="1" customWidth="1"/>
    <col min="7" max="7" width="65.83203125" style="2" bestFit="1" customWidth="1"/>
    <col min="8" max="8" width="9.5" style="2" bestFit="1" customWidth="1"/>
    <col min="9" max="9" width="20.5" style="7" bestFit="1" customWidth="1"/>
    <col min="10" max="10" width="16.1640625" style="2" bestFit="1" customWidth="1"/>
    <col min="11" max="11" width="18.5" style="2" bestFit="1" customWidth="1"/>
    <col min="12" max="12" width="10.83203125" style="2" bestFit="1" customWidth="1"/>
    <col min="13" max="13" width="13.1640625" style="2" bestFit="1" customWidth="1"/>
    <col min="14" max="14" width="15.5" style="2" bestFit="1" customWidth="1"/>
    <col min="15" max="15" width="13.1640625" style="2" bestFit="1" customWidth="1"/>
    <col min="16" max="16" width="12.83203125" style="2" bestFit="1" customWidth="1"/>
    <col min="17" max="17" width="22.1640625" style="2" bestFit="1" customWidth="1"/>
    <col min="18" max="18" width="14.5" style="4" bestFit="1" customWidth="1"/>
    <col min="19" max="19" width="16.1640625" style="2" bestFit="1" customWidth="1"/>
    <col min="20" max="20" width="20.1640625" style="2" bestFit="1" customWidth="1"/>
    <col min="21" max="21" width="16.5" style="2" bestFit="1" customWidth="1"/>
    <col min="22" max="22" width="25.6640625" style="2" bestFit="1" customWidth="1"/>
    <col min="23" max="23" width="16.5" style="7" bestFit="1" customWidth="1"/>
    <col min="24" max="24" width="72" style="2" bestFit="1" customWidth="1"/>
    <col min="25" max="25" width="11.83203125" style="2" bestFit="1" customWidth="1"/>
    <col min="26" max="26" width="16.6640625" style="7" bestFit="1" customWidth="1"/>
    <col min="27" max="27" width="17.5" style="99" bestFit="1" customWidth="1"/>
    <col min="28" max="28" width="15.5" style="104" bestFit="1" customWidth="1"/>
    <col min="29" max="29" width="13.6640625" style="105" bestFit="1" customWidth="1"/>
    <col min="30" max="30" width="15" style="2" customWidth="1"/>
    <col min="31" max="31" width="14.33203125" style="2" customWidth="1"/>
    <col min="32" max="32" width="22.1640625" style="2" customWidth="1"/>
  </cols>
  <sheetData>
    <row r="1" spans="1:32" s="16" customFormat="1">
      <c r="A1" s="80" t="s">
        <v>1</v>
      </c>
      <c r="B1" s="80" t="s">
        <v>2</v>
      </c>
      <c r="C1" s="80" t="s">
        <v>3</v>
      </c>
      <c r="D1" s="81" t="s">
        <v>4</v>
      </c>
      <c r="E1" s="80" t="s">
        <v>5</v>
      </c>
      <c r="F1" s="80" t="s">
        <v>6</v>
      </c>
      <c r="G1" s="80" t="s">
        <v>7</v>
      </c>
      <c r="H1" s="80" t="s">
        <v>8</v>
      </c>
      <c r="I1" s="80" t="s">
        <v>9</v>
      </c>
      <c r="J1" s="80" t="s">
        <v>10</v>
      </c>
      <c r="K1" s="80" t="s">
        <v>11</v>
      </c>
      <c r="L1" s="80" t="s">
        <v>12</v>
      </c>
      <c r="M1" s="80" t="s">
        <v>13</v>
      </c>
      <c r="N1" s="80" t="s">
        <v>14</v>
      </c>
      <c r="O1" s="80" t="s">
        <v>15</v>
      </c>
      <c r="P1" s="80" t="s">
        <v>16</v>
      </c>
      <c r="Q1" s="80" t="s">
        <v>17</v>
      </c>
      <c r="R1" s="81" t="s">
        <v>18</v>
      </c>
      <c r="S1" s="80" t="s">
        <v>19</v>
      </c>
      <c r="T1" s="80" t="s">
        <v>20</v>
      </c>
      <c r="U1" s="80" t="s">
        <v>21</v>
      </c>
      <c r="V1" s="80" t="s">
        <v>22</v>
      </c>
      <c r="W1" s="80" t="s">
        <v>23</v>
      </c>
      <c r="X1" s="80" t="s">
        <v>24</v>
      </c>
      <c r="Y1" s="80" t="s">
        <v>25</v>
      </c>
      <c r="Z1" s="80" t="s">
        <v>26</v>
      </c>
      <c r="AA1" s="82" t="s">
        <v>27</v>
      </c>
      <c r="AB1" s="83" t="s">
        <v>28</v>
      </c>
      <c r="AC1" s="84" t="s">
        <v>29</v>
      </c>
      <c r="AD1" s="80" t="s">
        <v>30</v>
      </c>
      <c r="AE1" s="80" t="s">
        <v>31</v>
      </c>
      <c r="AF1" s="80" t="s">
        <v>32</v>
      </c>
    </row>
    <row r="2" spans="1:32" s="20" customFormat="1">
      <c r="A2" s="17" t="s">
        <v>33</v>
      </c>
      <c r="B2" s="17" t="s">
        <v>34</v>
      </c>
      <c r="C2" s="18" t="s">
        <v>35</v>
      </c>
      <c r="D2" s="85">
        <v>44896</v>
      </c>
      <c r="E2" s="17" t="s">
        <v>36</v>
      </c>
      <c r="F2" s="17" t="s">
        <v>37</v>
      </c>
      <c r="G2" s="17" t="s">
        <v>38</v>
      </c>
      <c r="H2" s="17">
        <v>48</v>
      </c>
      <c r="I2" s="86">
        <v>354000000000</v>
      </c>
      <c r="J2" s="17">
        <v>1</v>
      </c>
      <c r="K2" s="85">
        <v>44897</v>
      </c>
      <c r="L2" s="17" t="s">
        <v>39</v>
      </c>
      <c r="M2" s="17" t="s">
        <v>40</v>
      </c>
      <c r="N2" s="17" t="s">
        <v>41</v>
      </c>
      <c r="O2" s="17" t="s">
        <v>42</v>
      </c>
      <c r="P2" s="17"/>
      <c r="Q2" s="17">
        <v>0.5</v>
      </c>
      <c r="R2" s="19" t="s">
        <v>43</v>
      </c>
      <c r="S2" s="17" t="s">
        <v>44</v>
      </c>
      <c r="T2" s="17" t="s">
        <v>45</v>
      </c>
      <c r="U2" s="17" t="s">
        <v>46</v>
      </c>
      <c r="V2" s="17"/>
      <c r="W2" s="85">
        <v>44915</v>
      </c>
      <c r="X2" s="17" t="s">
        <v>47</v>
      </c>
      <c r="Y2" s="17" t="s">
        <v>48</v>
      </c>
      <c r="Z2" s="17">
        <v>0.37</v>
      </c>
      <c r="AA2" s="86" t="s">
        <v>49</v>
      </c>
      <c r="AB2" s="87" t="s">
        <v>49</v>
      </c>
      <c r="AC2" s="88" t="s">
        <v>49</v>
      </c>
      <c r="AD2" s="17" t="s">
        <v>50</v>
      </c>
      <c r="AE2" s="86" t="s">
        <v>50</v>
      </c>
      <c r="AF2" s="86" t="s">
        <v>51</v>
      </c>
    </row>
    <row r="3" spans="1:32" s="20" customFormat="1">
      <c r="A3" s="17" t="s">
        <v>52</v>
      </c>
      <c r="B3" s="17" t="s">
        <v>53</v>
      </c>
      <c r="C3" s="18" t="s">
        <v>35</v>
      </c>
      <c r="D3" s="85">
        <v>44896</v>
      </c>
      <c r="E3" s="17" t="s">
        <v>36</v>
      </c>
      <c r="F3" s="17" t="s">
        <v>37</v>
      </c>
      <c r="G3" s="17" t="s">
        <v>38</v>
      </c>
      <c r="H3" s="17">
        <v>48</v>
      </c>
      <c r="I3" s="86">
        <v>354000000000</v>
      </c>
      <c r="J3" s="17">
        <v>1</v>
      </c>
      <c r="K3" s="85">
        <v>44897</v>
      </c>
      <c r="L3" s="17" t="s">
        <v>54</v>
      </c>
      <c r="M3" s="17" t="s">
        <v>40</v>
      </c>
      <c r="N3" s="17" t="s">
        <v>55</v>
      </c>
      <c r="O3" s="17" t="s">
        <v>56</v>
      </c>
      <c r="P3" s="17"/>
      <c r="Q3" s="17">
        <v>0.5</v>
      </c>
      <c r="R3" s="19" t="s">
        <v>43</v>
      </c>
      <c r="S3" s="17" t="s">
        <v>44</v>
      </c>
      <c r="T3" s="17" t="s">
        <v>45</v>
      </c>
      <c r="U3" s="17" t="s">
        <v>46</v>
      </c>
      <c r="V3" s="17"/>
      <c r="W3" s="85">
        <v>44915</v>
      </c>
      <c r="X3" s="17" t="s">
        <v>57</v>
      </c>
      <c r="Y3" s="17" t="s">
        <v>48</v>
      </c>
      <c r="Z3" s="17">
        <v>0.06</v>
      </c>
      <c r="AA3" s="86">
        <v>184300000000</v>
      </c>
      <c r="AB3" s="87">
        <v>0.17805254237288137</v>
      </c>
      <c r="AC3" s="88">
        <v>-0.74945182075057892</v>
      </c>
      <c r="AD3" s="17" t="s">
        <v>58</v>
      </c>
      <c r="AE3" s="17" t="s">
        <v>58</v>
      </c>
      <c r="AF3" s="17"/>
    </row>
    <row r="4" spans="1:32" s="20" customFormat="1">
      <c r="A4" s="17" t="s">
        <v>59</v>
      </c>
      <c r="B4" s="17" t="s">
        <v>60</v>
      </c>
      <c r="C4" s="18" t="s">
        <v>61</v>
      </c>
      <c r="D4" s="85">
        <v>44896</v>
      </c>
      <c r="E4" s="17" t="s">
        <v>62</v>
      </c>
      <c r="F4" s="17" t="s">
        <v>37</v>
      </c>
      <c r="G4" s="17" t="s">
        <v>38</v>
      </c>
      <c r="H4" s="17">
        <v>48</v>
      </c>
      <c r="I4" s="17">
        <v>118000000000</v>
      </c>
      <c r="J4" s="17">
        <v>1</v>
      </c>
      <c r="K4" s="85">
        <v>44897</v>
      </c>
      <c r="L4" s="17" t="s">
        <v>63</v>
      </c>
      <c r="M4" s="17" t="s">
        <v>64</v>
      </c>
      <c r="N4" s="17" t="s">
        <v>65</v>
      </c>
      <c r="O4" s="17"/>
      <c r="P4" s="17"/>
      <c r="Q4" s="17">
        <v>0.28000000000000003</v>
      </c>
      <c r="R4" s="19" t="s">
        <v>43</v>
      </c>
      <c r="S4" s="17" t="s">
        <v>44</v>
      </c>
      <c r="T4" s="17" t="s">
        <v>45</v>
      </c>
      <c r="U4" s="17" t="s">
        <v>46</v>
      </c>
      <c r="V4" s="17"/>
      <c r="W4" s="85">
        <v>44915</v>
      </c>
      <c r="X4" s="17" t="s">
        <v>66</v>
      </c>
      <c r="Y4" s="17" t="s">
        <v>48</v>
      </c>
      <c r="Z4" s="17">
        <v>0.24</v>
      </c>
      <c r="AA4" s="86">
        <v>66120000000</v>
      </c>
      <c r="AB4" s="87">
        <v>0.15969661016949152</v>
      </c>
      <c r="AC4" s="88">
        <v>-0.79670430239820533</v>
      </c>
      <c r="AD4" s="17" t="s">
        <v>58</v>
      </c>
      <c r="AE4" s="17" t="s">
        <v>58</v>
      </c>
      <c r="AF4" s="17"/>
    </row>
    <row r="5" spans="1:32" s="35" customFormat="1">
      <c r="A5" s="89" t="s">
        <v>67</v>
      </c>
      <c r="B5" s="89" t="s">
        <v>68</v>
      </c>
      <c r="C5" s="90" t="s">
        <v>35</v>
      </c>
      <c r="D5" s="91">
        <v>44896</v>
      </c>
      <c r="E5" s="89" t="s">
        <v>36</v>
      </c>
      <c r="F5" s="89" t="s">
        <v>37</v>
      </c>
      <c r="G5" s="89" t="s">
        <v>38</v>
      </c>
      <c r="H5" s="89">
        <v>48</v>
      </c>
      <c r="I5" s="92">
        <v>354000000000</v>
      </c>
      <c r="J5" s="89">
        <v>1</v>
      </c>
      <c r="K5" s="91">
        <v>44897</v>
      </c>
      <c r="L5" s="89" t="s">
        <v>63</v>
      </c>
      <c r="M5" s="89" t="s">
        <v>64</v>
      </c>
      <c r="N5" s="89" t="s">
        <v>65</v>
      </c>
      <c r="O5" s="89"/>
      <c r="P5" s="89"/>
      <c r="Q5" s="89">
        <v>0.28000000000000003</v>
      </c>
      <c r="R5" s="93" t="s">
        <v>43</v>
      </c>
      <c r="S5" s="89" t="s">
        <v>44</v>
      </c>
      <c r="T5" s="89" t="s">
        <v>45</v>
      </c>
      <c r="U5" s="89" t="s">
        <v>46</v>
      </c>
      <c r="V5" s="89"/>
      <c r="W5" s="91">
        <v>44915</v>
      </c>
      <c r="X5" s="89" t="s">
        <v>57</v>
      </c>
      <c r="Y5" s="89" t="s">
        <v>48</v>
      </c>
      <c r="Z5" s="89">
        <v>0.05</v>
      </c>
      <c r="AA5" s="92">
        <v>315400000000</v>
      </c>
      <c r="AB5" s="94">
        <v>0.25392372881355929</v>
      </c>
      <c r="AC5" s="95">
        <v>-0.59529671302439358</v>
      </c>
      <c r="AD5" s="89" t="s">
        <v>58</v>
      </c>
      <c r="AE5" s="89" t="s">
        <v>58</v>
      </c>
      <c r="AF5" s="89"/>
    </row>
    <row r="6" spans="1:32" s="20" customFormat="1">
      <c r="A6" s="17" t="s">
        <v>69</v>
      </c>
      <c r="B6" s="17" t="s">
        <v>70</v>
      </c>
      <c r="C6" s="18" t="s">
        <v>61</v>
      </c>
      <c r="D6" s="85">
        <v>44896</v>
      </c>
      <c r="E6" s="17" t="s">
        <v>62</v>
      </c>
      <c r="F6" s="17" t="s">
        <v>37</v>
      </c>
      <c r="G6" s="17" t="s">
        <v>71</v>
      </c>
      <c r="H6" s="17">
        <v>48</v>
      </c>
      <c r="I6" s="17">
        <v>118000000000</v>
      </c>
      <c r="J6" s="17">
        <v>1</v>
      </c>
      <c r="K6" s="85">
        <v>44897</v>
      </c>
      <c r="L6" s="17" t="s">
        <v>39</v>
      </c>
      <c r="M6" s="17" t="s">
        <v>40</v>
      </c>
      <c r="N6" s="17" t="s">
        <v>41</v>
      </c>
      <c r="O6" s="17" t="s">
        <v>42</v>
      </c>
      <c r="P6" s="17"/>
      <c r="Q6" s="17">
        <v>0.5</v>
      </c>
      <c r="R6" s="85">
        <v>44911</v>
      </c>
      <c r="S6" s="17" t="s">
        <v>44</v>
      </c>
      <c r="T6" s="17" t="s">
        <v>45</v>
      </c>
      <c r="U6" s="17" t="s">
        <v>46</v>
      </c>
      <c r="V6" s="17"/>
      <c r="W6" s="85">
        <v>44917</v>
      </c>
      <c r="X6" s="17" t="s">
        <v>72</v>
      </c>
      <c r="Y6" s="17" t="s">
        <v>48</v>
      </c>
      <c r="Z6" s="17">
        <v>0.42</v>
      </c>
      <c r="AA6" s="86">
        <v>40660000000</v>
      </c>
      <c r="AB6" s="96">
        <f>AA6*0.38/I6</f>
        <v>0.13093898305084745</v>
      </c>
      <c r="AC6" s="17">
        <f>LOG10(AB6)</f>
        <v>-0.88293103638729542</v>
      </c>
      <c r="AD6" s="17" t="s">
        <v>58</v>
      </c>
      <c r="AE6" s="17" t="s">
        <v>58</v>
      </c>
      <c r="AF6" s="17"/>
    </row>
    <row r="7" spans="1:32" s="20" customFormat="1">
      <c r="A7" s="17" t="s">
        <v>73</v>
      </c>
      <c r="B7" s="17" t="s">
        <v>74</v>
      </c>
      <c r="C7" s="18" t="s">
        <v>61</v>
      </c>
      <c r="D7" s="85">
        <v>44896</v>
      </c>
      <c r="E7" s="17" t="s">
        <v>62</v>
      </c>
      <c r="F7" s="17" t="s">
        <v>37</v>
      </c>
      <c r="G7" s="17" t="s">
        <v>71</v>
      </c>
      <c r="H7" s="17">
        <v>48</v>
      </c>
      <c r="I7" s="17">
        <v>118000000000</v>
      </c>
      <c r="J7" s="17">
        <v>1</v>
      </c>
      <c r="K7" s="85">
        <v>44897</v>
      </c>
      <c r="L7" s="17" t="s">
        <v>54</v>
      </c>
      <c r="M7" s="17" t="s">
        <v>40</v>
      </c>
      <c r="N7" s="17" t="s">
        <v>55</v>
      </c>
      <c r="O7" s="17" t="s">
        <v>56</v>
      </c>
      <c r="P7" s="17"/>
      <c r="Q7" s="17">
        <v>0.5</v>
      </c>
      <c r="R7" s="85">
        <v>44911</v>
      </c>
      <c r="S7" s="17" t="s">
        <v>44</v>
      </c>
      <c r="T7" s="17" t="s">
        <v>45</v>
      </c>
      <c r="U7" s="17" t="s">
        <v>46</v>
      </c>
      <c r="V7" s="17"/>
      <c r="W7" s="85">
        <v>44917</v>
      </c>
      <c r="X7" s="17" t="s">
        <v>75</v>
      </c>
      <c r="Y7" s="17" t="s">
        <v>48</v>
      </c>
      <c r="Z7" s="17" t="s">
        <v>49</v>
      </c>
      <c r="AA7" s="86">
        <v>66880000000</v>
      </c>
      <c r="AB7" s="96">
        <f>AA7*0.342/I7</f>
        <v>0.19383864406779661</v>
      </c>
      <c r="AC7" s="17">
        <f t="shared" ref="AC7:AC19" si="0">LOG10(AB7)</f>
        <v>-0.71255963681903034</v>
      </c>
      <c r="AD7" s="17" t="s">
        <v>58</v>
      </c>
      <c r="AE7" s="17" t="s">
        <v>58</v>
      </c>
      <c r="AF7" s="17"/>
    </row>
    <row r="8" spans="1:32" s="20" customFormat="1">
      <c r="A8" s="17" t="s">
        <v>76</v>
      </c>
      <c r="B8" s="17" t="s">
        <v>77</v>
      </c>
      <c r="C8" s="18" t="s">
        <v>61</v>
      </c>
      <c r="D8" s="85">
        <v>44896</v>
      </c>
      <c r="E8" s="17" t="s">
        <v>62</v>
      </c>
      <c r="F8" s="17" t="s">
        <v>37</v>
      </c>
      <c r="G8" s="17" t="s">
        <v>38</v>
      </c>
      <c r="H8" s="17">
        <v>48</v>
      </c>
      <c r="I8" s="17">
        <v>118000000000</v>
      </c>
      <c r="J8" s="17">
        <v>1</v>
      </c>
      <c r="K8" s="85">
        <v>44897</v>
      </c>
      <c r="L8" s="17" t="s">
        <v>39</v>
      </c>
      <c r="M8" s="17" t="s">
        <v>40</v>
      </c>
      <c r="N8" s="17" t="s">
        <v>41</v>
      </c>
      <c r="O8" s="17" t="s">
        <v>42</v>
      </c>
      <c r="P8" s="17"/>
      <c r="Q8" s="17">
        <v>0.5</v>
      </c>
      <c r="R8" s="85">
        <v>44911</v>
      </c>
      <c r="S8" s="17" t="s">
        <v>44</v>
      </c>
      <c r="T8" s="17" t="s">
        <v>45</v>
      </c>
      <c r="U8" s="17" t="s">
        <v>46</v>
      </c>
      <c r="V8" s="17"/>
      <c r="W8" s="85">
        <v>44917</v>
      </c>
      <c r="X8" s="17" t="s">
        <v>78</v>
      </c>
      <c r="Y8" s="17" t="s">
        <v>48</v>
      </c>
      <c r="Z8" s="17" t="s">
        <v>49</v>
      </c>
      <c r="AA8" s="86">
        <v>37700000000</v>
      </c>
      <c r="AB8" s="96">
        <f>AA8*0.38/I8</f>
        <v>0.12140677966101696</v>
      </c>
      <c r="AC8" s="17">
        <f t="shared" si="0"/>
        <v>-0.91575706048352234</v>
      </c>
      <c r="AD8" s="17" t="s">
        <v>58</v>
      </c>
      <c r="AE8" s="17" t="s">
        <v>58</v>
      </c>
      <c r="AF8" s="17"/>
    </row>
    <row r="9" spans="1:32" s="20" customFormat="1">
      <c r="A9" s="17" t="s">
        <v>79</v>
      </c>
      <c r="B9" s="17" t="s">
        <v>80</v>
      </c>
      <c r="C9" s="18" t="s">
        <v>35</v>
      </c>
      <c r="D9" s="19" t="s">
        <v>81</v>
      </c>
      <c r="E9" s="17" t="s">
        <v>82</v>
      </c>
      <c r="F9" s="17" t="s">
        <v>37</v>
      </c>
      <c r="G9" s="17" t="s">
        <v>71</v>
      </c>
      <c r="H9" s="17">
        <v>48</v>
      </c>
      <c r="I9" s="17">
        <v>270000000000</v>
      </c>
      <c r="J9" s="17">
        <v>0</v>
      </c>
      <c r="K9" s="19" t="s">
        <v>81</v>
      </c>
      <c r="L9" s="17" t="s">
        <v>39</v>
      </c>
      <c r="M9" s="17" t="s">
        <v>40</v>
      </c>
      <c r="N9" s="17" t="s">
        <v>41</v>
      </c>
      <c r="O9" s="17" t="s">
        <v>42</v>
      </c>
      <c r="P9" s="17"/>
      <c r="Q9" s="17">
        <v>0.5</v>
      </c>
      <c r="R9" s="85">
        <v>44911</v>
      </c>
      <c r="S9" s="17" t="s">
        <v>44</v>
      </c>
      <c r="T9" s="17" t="s">
        <v>45</v>
      </c>
      <c r="U9" s="17" t="s">
        <v>46</v>
      </c>
      <c r="V9" s="17"/>
      <c r="W9" s="85">
        <v>44917</v>
      </c>
      <c r="X9" s="17" t="s">
        <v>83</v>
      </c>
      <c r="Y9" s="17" t="s">
        <v>48</v>
      </c>
      <c r="Z9" s="17" t="s">
        <v>49</v>
      </c>
      <c r="AA9" s="86" t="s">
        <v>49</v>
      </c>
      <c r="AB9" s="87" t="s">
        <v>49</v>
      </c>
      <c r="AC9" s="87" t="s">
        <v>49</v>
      </c>
      <c r="AD9" s="17" t="s">
        <v>50</v>
      </c>
      <c r="AE9" s="86" t="s">
        <v>50</v>
      </c>
      <c r="AF9" s="86" t="s">
        <v>51</v>
      </c>
    </row>
    <row r="10" spans="1:32" s="20" customFormat="1">
      <c r="A10" s="17" t="s">
        <v>84</v>
      </c>
      <c r="B10" s="17" t="s">
        <v>85</v>
      </c>
      <c r="C10" s="18" t="s">
        <v>61</v>
      </c>
      <c r="D10" s="85">
        <v>44896</v>
      </c>
      <c r="E10" s="17" t="s">
        <v>62</v>
      </c>
      <c r="F10" s="17" t="s">
        <v>37</v>
      </c>
      <c r="G10" s="17" t="s">
        <v>38</v>
      </c>
      <c r="H10" s="17">
        <v>48</v>
      </c>
      <c r="I10" s="17">
        <v>118000000000</v>
      </c>
      <c r="J10" s="17">
        <v>1</v>
      </c>
      <c r="K10" s="85">
        <v>44897</v>
      </c>
      <c r="L10" s="17" t="s">
        <v>54</v>
      </c>
      <c r="M10" s="17" t="s">
        <v>40</v>
      </c>
      <c r="N10" s="17" t="s">
        <v>55</v>
      </c>
      <c r="O10" s="17" t="s">
        <v>56</v>
      </c>
      <c r="P10" s="17"/>
      <c r="Q10" s="17">
        <v>0.5</v>
      </c>
      <c r="R10" s="85">
        <v>44911</v>
      </c>
      <c r="S10" s="17" t="s">
        <v>44</v>
      </c>
      <c r="T10" s="17" t="s">
        <v>45</v>
      </c>
      <c r="U10" s="17" t="s">
        <v>46</v>
      </c>
      <c r="V10" s="17"/>
      <c r="W10" s="85">
        <v>44917</v>
      </c>
      <c r="X10" s="17" t="s">
        <v>86</v>
      </c>
      <c r="Y10" s="17" t="s">
        <v>48</v>
      </c>
      <c r="Z10" s="17">
        <v>0.2</v>
      </c>
      <c r="AA10" s="86">
        <v>58900000000</v>
      </c>
      <c r="AB10" s="96">
        <f>AA10*0.342/I10</f>
        <v>0.17071016949152543</v>
      </c>
      <c r="AC10" s="17">
        <f t="shared" si="0"/>
        <v>-0.76774060646288866</v>
      </c>
      <c r="AD10" s="17" t="s">
        <v>58</v>
      </c>
      <c r="AE10" s="17" t="s">
        <v>58</v>
      </c>
      <c r="AF10" s="17"/>
    </row>
    <row r="11" spans="1:32" s="20" customFormat="1">
      <c r="A11" s="17" t="s">
        <v>87</v>
      </c>
      <c r="B11" s="17" t="s">
        <v>88</v>
      </c>
      <c r="C11" s="18" t="s">
        <v>35</v>
      </c>
      <c r="D11" s="19" t="s">
        <v>81</v>
      </c>
      <c r="E11" s="17" t="s">
        <v>82</v>
      </c>
      <c r="F11" s="17" t="s">
        <v>37</v>
      </c>
      <c r="G11" s="17" t="s">
        <v>71</v>
      </c>
      <c r="H11" s="17">
        <v>48</v>
      </c>
      <c r="I11" s="97">
        <v>270000000000</v>
      </c>
      <c r="J11" s="17">
        <v>0</v>
      </c>
      <c r="K11" s="19" t="s">
        <v>81</v>
      </c>
      <c r="L11" s="17" t="s">
        <v>63</v>
      </c>
      <c r="M11" s="17" t="s">
        <v>64</v>
      </c>
      <c r="N11" s="17" t="s">
        <v>65</v>
      </c>
      <c r="O11" s="17"/>
      <c r="P11" s="17"/>
      <c r="Q11" s="17">
        <v>0.28000000000000003</v>
      </c>
      <c r="R11" s="85">
        <v>44911</v>
      </c>
      <c r="S11" s="17" t="s">
        <v>44</v>
      </c>
      <c r="T11" s="17" t="s">
        <v>45</v>
      </c>
      <c r="U11" s="17" t="s">
        <v>46</v>
      </c>
      <c r="V11" s="17"/>
      <c r="W11" s="85">
        <v>44917</v>
      </c>
      <c r="X11" s="17" t="s">
        <v>89</v>
      </c>
      <c r="Y11" s="17" t="s">
        <v>48</v>
      </c>
      <c r="Z11" s="17">
        <v>0.15</v>
      </c>
      <c r="AA11" s="86">
        <v>638400000000</v>
      </c>
      <c r="AB11" s="96">
        <f>AA11*0.285/I11</f>
        <v>0.6738666666666665</v>
      </c>
      <c r="AC11" s="17">
        <f t="shared" si="0"/>
        <v>-0.17142602580780419</v>
      </c>
      <c r="AD11" s="17" t="s">
        <v>58</v>
      </c>
      <c r="AE11" s="17" t="s">
        <v>58</v>
      </c>
      <c r="AF11" s="17"/>
    </row>
    <row r="12" spans="1:32" s="20" customFormat="1">
      <c r="A12" s="17" t="s">
        <v>90</v>
      </c>
      <c r="B12" s="17" t="s">
        <v>91</v>
      </c>
      <c r="C12" s="18" t="s">
        <v>35</v>
      </c>
      <c r="D12" s="19" t="s">
        <v>81</v>
      </c>
      <c r="E12" s="17" t="s">
        <v>82</v>
      </c>
      <c r="F12" s="17" t="s">
        <v>37</v>
      </c>
      <c r="G12" s="17" t="s">
        <v>71</v>
      </c>
      <c r="H12" s="17">
        <v>48</v>
      </c>
      <c r="I12" s="97">
        <v>270000000000</v>
      </c>
      <c r="J12" s="17">
        <v>0</v>
      </c>
      <c r="K12" s="19" t="s">
        <v>81</v>
      </c>
      <c r="L12" s="17" t="s">
        <v>54</v>
      </c>
      <c r="M12" s="17" t="s">
        <v>40</v>
      </c>
      <c r="N12" s="17" t="s">
        <v>55</v>
      </c>
      <c r="O12" s="17" t="s">
        <v>56</v>
      </c>
      <c r="P12" s="17"/>
      <c r="Q12" s="17">
        <v>0.5</v>
      </c>
      <c r="R12" s="85">
        <v>44911</v>
      </c>
      <c r="S12" s="17" t="s">
        <v>44</v>
      </c>
      <c r="T12" s="17" t="s">
        <v>45</v>
      </c>
      <c r="U12" s="17" t="s">
        <v>46</v>
      </c>
      <c r="V12" s="17"/>
      <c r="W12" s="85">
        <v>44917</v>
      </c>
      <c r="X12" s="17" t="s">
        <v>89</v>
      </c>
      <c r="Y12" s="17" t="s">
        <v>48</v>
      </c>
      <c r="Z12" s="17">
        <v>0.1</v>
      </c>
      <c r="AA12" s="86">
        <v>414200000000</v>
      </c>
      <c r="AB12" s="96">
        <f>AA12*0.342/I12</f>
        <v>0.5246533333333333</v>
      </c>
      <c r="AC12" s="17">
        <f t="shared" si="0"/>
        <v>-0.28012756354541851</v>
      </c>
      <c r="AD12" s="17" t="s">
        <v>58</v>
      </c>
      <c r="AE12" s="17" t="s">
        <v>58</v>
      </c>
      <c r="AF12" s="17"/>
    </row>
    <row r="13" spans="1:32" s="20" customFormat="1">
      <c r="A13" s="17" t="s">
        <v>92</v>
      </c>
      <c r="B13" s="17" t="s">
        <v>93</v>
      </c>
      <c r="C13" s="18" t="s">
        <v>61</v>
      </c>
      <c r="D13" s="85">
        <v>44896</v>
      </c>
      <c r="E13" s="17" t="s">
        <v>62</v>
      </c>
      <c r="F13" s="17" t="s">
        <v>37</v>
      </c>
      <c r="G13" s="17" t="s">
        <v>71</v>
      </c>
      <c r="H13" s="17">
        <v>48</v>
      </c>
      <c r="I13" s="17">
        <v>118000000000</v>
      </c>
      <c r="J13" s="17">
        <v>1</v>
      </c>
      <c r="K13" s="85">
        <v>44897</v>
      </c>
      <c r="L13" s="17" t="s">
        <v>63</v>
      </c>
      <c r="M13" s="17" t="s">
        <v>64</v>
      </c>
      <c r="N13" s="17" t="s">
        <v>65</v>
      </c>
      <c r="O13" s="17"/>
      <c r="P13" s="17"/>
      <c r="Q13" s="17">
        <v>0.28000000000000003</v>
      </c>
      <c r="R13" s="85">
        <v>44911</v>
      </c>
      <c r="S13" s="17" t="s">
        <v>44</v>
      </c>
      <c r="T13" s="17" t="s">
        <v>45</v>
      </c>
      <c r="U13" s="17" t="s">
        <v>46</v>
      </c>
      <c r="V13" s="17"/>
      <c r="W13" s="85">
        <v>44917</v>
      </c>
      <c r="X13" s="17" t="s">
        <v>75</v>
      </c>
      <c r="Y13" s="17" t="s">
        <v>48</v>
      </c>
      <c r="Z13" s="17" t="s">
        <v>49</v>
      </c>
      <c r="AA13" s="86">
        <v>98800000000</v>
      </c>
      <c r="AB13" s="96">
        <f>AA13*0.285/I13</f>
        <v>0.23862711864406777</v>
      </c>
      <c r="AC13" s="17">
        <f t="shared" si="0"/>
        <v>-0.62228020270998707</v>
      </c>
      <c r="AD13" s="17" t="s">
        <v>58</v>
      </c>
      <c r="AE13" s="17" t="s">
        <v>58</v>
      </c>
      <c r="AF13" s="17"/>
    </row>
    <row r="14" spans="1:32" s="20" customFormat="1">
      <c r="A14" s="19" t="s">
        <v>94</v>
      </c>
      <c r="B14" s="17" t="s">
        <v>95</v>
      </c>
      <c r="C14" s="18" t="s">
        <v>35</v>
      </c>
      <c r="D14" s="19" t="s">
        <v>96</v>
      </c>
      <c r="E14" s="17" t="s">
        <v>97</v>
      </c>
      <c r="F14" s="17" t="s">
        <v>98</v>
      </c>
      <c r="G14" s="17" t="s">
        <v>99</v>
      </c>
      <c r="H14" s="17">
        <v>47</v>
      </c>
      <c r="I14" s="86">
        <v>154666666666.66666</v>
      </c>
      <c r="J14" s="17">
        <v>5</v>
      </c>
      <c r="K14" s="85">
        <v>44911</v>
      </c>
      <c r="L14" s="17" t="s">
        <v>54</v>
      </c>
      <c r="M14" s="17" t="s">
        <v>40</v>
      </c>
      <c r="N14" s="17" t="s">
        <v>55</v>
      </c>
      <c r="O14" s="17" t="s">
        <v>56</v>
      </c>
      <c r="P14" s="17"/>
      <c r="Q14" s="17">
        <v>0.5</v>
      </c>
      <c r="R14" s="85">
        <v>44932</v>
      </c>
      <c r="S14" s="17" t="s">
        <v>44</v>
      </c>
      <c r="T14" s="17" t="s">
        <v>45</v>
      </c>
      <c r="U14" s="17" t="s">
        <v>46</v>
      </c>
      <c r="V14" s="17"/>
      <c r="W14" s="85">
        <v>44937</v>
      </c>
      <c r="X14" s="17" t="s">
        <v>100</v>
      </c>
      <c r="Y14" s="17" t="s">
        <v>48</v>
      </c>
      <c r="Z14" s="17">
        <v>0.05</v>
      </c>
      <c r="AA14" s="86">
        <v>330600000000</v>
      </c>
      <c r="AB14" s="96">
        <f>AA14*0.342/I14</f>
        <v>0.73102500000000015</v>
      </c>
      <c r="AC14" s="88">
        <f t="shared" si="0"/>
        <v>-0.13606777054365463</v>
      </c>
      <c r="AD14" s="17" t="s">
        <v>58</v>
      </c>
      <c r="AE14" s="17" t="s">
        <v>58</v>
      </c>
      <c r="AF14" s="17"/>
    </row>
    <row r="15" spans="1:32" s="20" customFormat="1">
      <c r="A15" s="19" t="s">
        <v>101</v>
      </c>
      <c r="B15" s="17" t="s">
        <v>102</v>
      </c>
      <c r="C15" s="18" t="s">
        <v>35</v>
      </c>
      <c r="D15" s="19" t="s">
        <v>103</v>
      </c>
      <c r="E15" s="17" t="s">
        <v>104</v>
      </c>
      <c r="F15" s="17" t="s">
        <v>37</v>
      </c>
      <c r="G15" s="17" t="s">
        <v>105</v>
      </c>
      <c r="H15" s="17">
        <v>40</v>
      </c>
      <c r="I15" s="17">
        <v>364000000000</v>
      </c>
      <c r="J15" s="17">
        <v>0</v>
      </c>
      <c r="K15" s="85">
        <v>44867</v>
      </c>
      <c r="L15" s="17" t="s">
        <v>63</v>
      </c>
      <c r="M15" s="17" t="s">
        <v>64</v>
      </c>
      <c r="N15" s="17" t="s">
        <v>65</v>
      </c>
      <c r="O15" s="17"/>
      <c r="P15" s="17"/>
      <c r="Q15" s="17">
        <v>0.28000000000000003</v>
      </c>
      <c r="R15" s="85">
        <v>44932</v>
      </c>
      <c r="S15" s="17" t="s">
        <v>44</v>
      </c>
      <c r="T15" s="17" t="s">
        <v>45</v>
      </c>
      <c r="U15" s="17" t="s">
        <v>46</v>
      </c>
      <c r="V15" s="17"/>
      <c r="W15" s="85">
        <v>44937</v>
      </c>
      <c r="X15" s="17" t="s">
        <v>106</v>
      </c>
      <c r="Y15" s="17" t="s">
        <v>48</v>
      </c>
      <c r="Z15" s="17">
        <v>0.13</v>
      </c>
      <c r="AA15" s="86">
        <v>733400000000</v>
      </c>
      <c r="AB15" s="96">
        <f>AA15*0.285/I15</f>
        <v>0.57422802197802192</v>
      </c>
      <c r="AC15" s="88">
        <f t="shared" si="0"/>
        <v>-0.24091561801596192</v>
      </c>
      <c r="AD15" s="17" t="s">
        <v>58</v>
      </c>
      <c r="AE15" s="17" t="s">
        <v>58</v>
      </c>
      <c r="AF15" s="17"/>
    </row>
    <row r="16" spans="1:32" s="20" customFormat="1" ht="16">
      <c r="A16" s="19" t="s">
        <v>107</v>
      </c>
      <c r="B16" s="17" t="s">
        <v>108</v>
      </c>
      <c r="C16" s="18" t="s">
        <v>61</v>
      </c>
      <c r="D16" s="19" t="s">
        <v>81</v>
      </c>
      <c r="E16" s="17" t="s">
        <v>109</v>
      </c>
      <c r="F16" s="17" t="s">
        <v>37</v>
      </c>
      <c r="G16" s="21" t="s">
        <v>110</v>
      </c>
      <c r="H16" s="17">
        <v>48</v>
      </c>
      <c r="I16" s="17">
        <v>132000000000</v>
      </c>
      <c r="J16" s="17">
        <v>0</v>
      </c>
      <c r="K16" s="85">
        <v>44882</v>
      </c>
      <c r="L16" s="17" t="s">
        <v>63</v>
      </c>
      <c r="M16" s="17" t="s">
        <v>64</v>
      </c>
      <c r="N16" s="17" t="s">
        <v>65</v>
      </c>
      <c r="O16" s="17"/>
      <c r="P16" s="17"/>
      <c r="Q16" s="17">
        <v>0.28000000000000003</v>
      </c>
      <c r="R16" s="85">
        <v>44932</v>
      </c>
      <c r="S16" s="17" t="s">
        <v>44</v>
      </c>
      <c r="T16" s="17" t="s">
        <v>45</v>
      </c>
      <c r="U16" s="17" t="s">
        <v>46</v>
      </c>
      <c r="V16" s="17"/>
      <c r="W16" s="85">
        <v>44937</v>
      </c>
      <c r="X16" s="17" t="s">
        <v>111</v>
      </c>
      <c r="Y16" s="17" t="s">
        <v>48</v>
      </c>
      <c r="Z16" s="17">
        <v>7.0000000000000007E-2</v>
      </c>
      <c r="AA16" s="86">
        <v>136800000000</v>
      </c>
      <c r="AB16" s="96">
        <f>AA16*0.285/I16</f>
        <v>0.29536363636363638</v>
      </c>
      <c r="AC16" s="88">
        <f t="shared" si="0"/>
        <v>-0.52964297381324221</v>
      </c>
      <c r="AD16" s="17" t="s">
        <v>58</v>
      </c>
      <c r="AE16" s="17" t="s">
        <v>58</v>
      </c>
      <c r="AF16" s="17"/>
    </row>
    <row r="17" spans="1:32" s="20" customFormat="1">
      <c r="A17" s="19" t="s">
        <v>112</v>
      </c>
      <c r="B17" s="17" t="s">
        <v>113</v>
      </c>
      <c r="C17" s="18" t="s">
        <v>35</v>
      </c>
      <c r="D17" s="19" t="s">
        <v>103</v>
      </c>
      <c r="E17" s="17" t="s">
        <v>104</v>
      </c>
      <c r="F17" s="17" t="s">
        <v>37</v>
      </c>
      <c r="G17" s="17" t="s">
        <v>105</v>
      </c>
      <c r="H17" s="17">
        <v>40</v>
      </c>
      <c r="I17" s="17">
        <v>364000000000</v>
      </c>
      <c r="J17" s="17">
        <v>0</v>
      </c>
      <c r="K17" s="85">
        <v>44867</v>
      </c>
      <c r="L17" s="17" t="s">
        <v>54</v>
      </c>
      <c r="M17" s="17" t="s">
        <v>40</v>
      </c>
      <c r="N17" s="17" t="s">
        <v>55</v>
      </c>
      <c r="O17" s="17" t="s">
        <v>56</v>
      </c>
      <c r="P17" s="17"/>
      <c r="Q17" s="17">
        <v>0.5</v>
      </c>
      <c r="R17" s="85">
        <v>44932</v>
      </c>
      <c r="S17" s="17" t="s">
        <v>44</v>
      </c>
      <c r="T17" s="17" t="s">
        <v>45</v>
      </c>
      <c r="U17" s="17" t="s">
        <v>46</v>
      </c>
      <c r="V17" s="17"/>
      <c r="W17" s="85">
        <v>44937</v>
      </c>
      <c r="X17" s="17" t="s">
        <v>114</v>
      </c>
      <c r="Y17" s="17" t="s">
        <v>48</v>
      </c>
      <c r="Z17" s="17">
        <v>0.08</v>
      </c>
      <c r="AA17" s="86">
        <v>478800000000</v>
      </c>
      <c r="AB17" s="96">
        <f>AA17*0.342/I17</f>
        <v>0.44986153846153848</v>
      </c>
      <c r="AC17" s="88">
        <f t="shared" si="0"/>
        <v>-0.34692113585854789</v>
      </c>
      <c r="AD17" s="17" t="s">
        <v>58</v>
      </c>
      <c r="AE17" s="17" t="s">
        <v>58</v>
      </c>
      <c r="AF17" s="17"/>
    </row>
    <row r="18" spans="1:32" s="20" customFormat="1" ht="16">
      <c r="A18" s="19" t="s">
        <v>115</v>
      </c>
      <c r="B18" s="17" t="s">
        <v>116</v>
      </c>
      <c r="C18" s="18" t="s">
        <v>61</v>
      </c>
      <c r="D18" s="19" t="s">
        <v>81</v>
      </c>
      <c r="E18" s="17" t="s">
        <v>109</v>
      </c>
      <c r="F18" s="17" t="s">
        <v>37</v>
      </c>
      <c r="G18" s="21" t="s">
        <v>110</v>
      </c>
      <c r="H18" s="17">
        <v>48</v>
      </c>
      <c r="I18" s="17">
        <v>132000000000</v>
      </c>
      <c r="J18" s="17">
        <v>0</v>
      </c>
      <c r="K18" s="85">
        <v>44882</v>
      </c>
      <c r="L18" s="17" t="s">
        <v>54</v>
      </c>
      <c r="M18" s="17" t="s">
        <v>40</v>
      </c>
      <c r="N18" s="17" t="s">
        <v>55</v>
      </c>
      <c r="O18" s="17" t="s">
        <v>56</v>
      </c>
      <c r="P18" s="17"/>
      <c r="Q18" s="17">
        <v>0.5</v>
      </c>
      <c r="R18" s="85">
        <v>44932</v>
      </c>
      <c r="S18" s="17" t="s">
        <v>44</v>
      </c>
      <c r="T18" s="17" t="s">
        <v>45</v>
      </c>
      <c r="U18" s="17" t="s">
        <v>46</v>
      </c>
      <c r="V18" s="17"/>
      <c r="W18" s="85">
        <v>44937</v>
      </c>
      <c r="X18" s="17" t="s">
        <v>117</v>
      </c>
      <c r="Y18" s="17" t="s">
        <v>48</v>
      </c>
      <c r="Z18" s="17">
        <v>0.08</v>
      </c>
      <c r="AA18" s="86">
        <v>109060000000</v>
      </c>
      <c r="AB18" s="96">
        <f>AA18*0.342/I18</f>
        <v>0.28256454545454546</v>
      </c>
      <c r="AC18" s="88">
        <f t="shared" si="0"/>
        <v>-0.54888233179891233</v>
      </c>
      <c r="AD18" s="17" t="s">
        <v>58</v>
      </c>
      <c r="AE18" s="17" t="s">
        <v>58</v>
      </c>
      <c r="AF18" s="17"/>
    </row>
    <row r="19" spans="1:32" s="35" customFormat="1">
      <c r="A19" s="93" t="s">
        <v>118</v>
      </c>
      <c r="B19" s="89" t="s">
        <v>119</v>
      </c>
      <c r="C19" s="90" t="s">
        <v>35</v>
      </c>
      <c r="D19" s="93" t="s">
        <v>96</v>
      </c>
      <c r="E19" s="89" t="s">
        <v>97</v>
      </c>
      <c r="F19" s="89" t="s">
        <v>98</v>
      </c>
      <c r="G19" s="89" t="s">
        <v>99</v>
      </c>
      <c r="H19" s="89">
        <v>47</v>
      </c>
      <c r="I19" s="92">
        <v>154666666666.66666</v>
      </c>
      <c r="J19" s="89">
        <v>5</v>
      </c>
      <c r="K19" s="91">
        <v>44911</v>
      </c>
      <c r="L19" s="89" t="s">
        <v>63</v>
      </c>
      <c r="M19" s="89" t="s">
        <v>64</v>
      </c>
      <c r="N19" s="89" t="s">
        <v>65</v>
      </c>
      <c r="O19" s="89"/>
      <c r="P19" s="89"/>
      <c r="Q19" s="89">
        <v>0.28000000000000003</v>
      </c>
      <c r="R19" s="91">
        <v>44932</v>
      </c>
      <c r="S19" s="89" t="s">
        <v>44</v>
      </c>
      <c r="T19" s="89" t="s">
        <v>45</v>
      </c>
      <c r="U19" s="89" t="s">
        <v>46</v>
      </c>
      <c r="V19" s="89"/>
      <c r="W19" s="91">
        <v>44937</v>
      </c>
      <c r="X19" s="89" t="s">
        <v>120</v>
      </c>
      <c r="Y19" s="89" t="s">
        <v>48</v>
      </c>
      <c r="Z19" s="89">
        <v>0.06</v>
      </c>
      <c r="AA19" s="92">
        <v>418000000000</v>
      </c>
      <c r="AB19" s="98">
        <f>AA19*0.285/I19</f>
        <v>0.77023706896551725</v>
      </c>
      <c r="AC19" s="95">
        <f t="shared" si="0"/>
        <v>-0.11337558405167303</v>
      </c>
      <c r="AD19" s="89" t="s">
        <v>58</v>
      </c>
      <c r="AE19" s="89" t="s">
        <v>58</v>
      </c>
      <c r="AF19" s="89"/>
    </row>
    <row r="20" spans="1:32" s="20" customFormat="1">
      <c r="A20" s="19" t="s">
        <v>121</v>
      </c>
      <c r="B20" s="17" t="s">
        <v>122</v>
      </c>
      <c r="C20" s="18" t="s">
        <v>35</v>
      </c>
      <c r="D20" s="19" t="s">
        <v>96</v>
      </c>
      <c r="E20" s="17" t="s">
        <v>97</v>
      </c>
      <c r="F20" s="17" t="s">
        <v>98</v>
      </c>
      <c r="G20" s="17" t="s">
        <v>99</v>
      </c>
      <c r="H20" s="17">
        <v>47</v>
      </c>
      <c r="I20" s="86">
        <v>154666666666.66666</v>
      </c>
      <c r="J20" s="17">
        <v>5</v>
      </c>
      <c r="K20" s="85">
        <v>44911</v>
      </c>
      <c r="L20" s="17" t="s">
        <v>39</v>
      </c>
      <c r="M20" s="17" t="s">
        <v>40</v>
      </c>
      <c r="N20" s="17" t="s">
        <v>41</v>
      </c>
      <c r="O20" s="17" t="s">
        <v>42</v>
      </c>
      <c r="P20" s="17"/>
      <c r="Q20" s="17">
        <v>0.5</v>
      </c>
      <c r="R20" s="85">
        <v>44932</v>
      </c>
      <c r="S20" s="17" t="s">
        <v>123</v>
      </c>
      <c r="T20" s="17">
        <v>380</v>
      </c>
      <c r="U20" s="17" t="s">
        <v>124</v>
      </c>
      <c r="V20" s="17"/>
      <c r="W20" s="85">
        <v>44937</v>
      </c>
      <c r="X20" s="17" t="s">
        <v>125</v>
      </c>
      <c r="Y20" s="17" t="s">
        <v>48</v>
      </c>
      <c r="Z20" s="17">
        <v>0.24</v>
      </c>
      <c r="AA20" s="86">
        <v>364800000000</v>
      </c>
      <c r="AB20" s="96">
        <f>AA20*0.38/I20</f>
        <v>0.89627586206896559</v>
      </c>
      <c r="AC20" s="88">
        <f>LOG10(AB20)</f>
        <v>-4.7558299562029671E-2</v>
      </c>
      <c r="AD20" s="17" t="s">
        <v>58</v>
      </c>
      <c r="AE20" s="17" t="s">
        <v>58</v>
      </c>
      <c r="AF20" s="17"/>
    </row>
    <row r="21" spans="1:32" s="20" customFormat="1">
      <c r="A21" s="19" t="s">
        <v>126</v>
      </c>
      <c r="B21" s="17" t="s">
        <v>127</v>
      </c>
      <c r="C21" s="18" t="s">
        <v>35</v>
      </c>
      <c r="D21" s="19" t="s">
        <v>103</v>
      </c>
      <c r="E21" s="17" t="s">
        <v>104</v>
      </c>
      <c r="F21" s="17" t="s">
        <v>37</v>
      </c>
      <c r="G21" s="17" t="s">
        <v>105</v>
      </c>
      <c r="H21" s="17">
        <v>40</v>
      </c>
      <c r="I21" s="17">
        <v>364000000000</v>
      </c>
      <c r="J21" s="17">
        <v>0</v>
      </c>
      <c r="K21" s="85">
        <v>44867</v>
      </c>
      <c r="L21" s="17" t="s">
        <v>39</v>
      </c>
      <c r="M21" s="17" t="s">
        <v>40</v>
      </c>
      <c r="N21" s="17" t="s">
        <v>41</v>
      </c>
      <c r="O21" s="17" t="s">
        <v>42</v>
      </c>
      <c r="P21" s="17"/>
      <c r="Q21" s="17">
        <v>0.5</v>
      </c>
      <c r="R21" s="85">
        <v>44932</v>
      </c>
      <c r="S21" s="17" t="s">
        <v>123</v>
      </c>
      <c r="T21" s="17">
        <v>380</v>
      </c>
      <c r="U21" s="17" t="s">
        <v>124</v>
      </c>
      <c r="V21" s="17"/>
      <c r="W21" s="85">
        <v>44937</v>
      </c>
      <c r="X21" s="17" t="s">
        <v>128</v>
      </c>
      <c r="Y21" s="17" t="s">
        <v>48</v>
      </c>
      <c r="Z21" s="17">
        <v>0.19</v>
      </c>
      <c r="AA21" s="86">
        <v>562400000000</v>
      </c>
      <c r="AB21" s="96">
        <f>AA21*0.38/I21</f>
        <v>0.58712087912087907</v>
      </c>
      <c r="AC21" s="88">
        <f t="shared" ref="AC21:AC29" si="1">LOG10(AB21)</f>
        <v>-0.23127247502047832</v>
      </c>
      <c r="AD21" s="17" t="s">
        <v>58</v>
      </c>
      <c r="AE21" s="17" t="s">
        <v>58</v>
      </c>
      <c r="AF21" s="17"/>
    </row>
    <row r="22" spans="1:32" s="20" customFormat="1" ht="14.5" customHeight="1">
      <c r="A22" s="19" t="s">
        <v>129</v>
      </c>
      <c r="B22" s="17" t="s">
        <v>130</v>
      </c>
      <c r="C22" s="18" t="s">
        <v>61</v>
      </c>
      <c r="D22" s="19" t="s">
        <v>81</v>
      </c>
      <c r="E22" s="17" t="s">
        <v>109</v>
      </c>
      <c r="F22" s="17" t="s">
        <v>37</v>
      </c>
      <c r="G22" s="21" t="s">
        <v>110</v>
      </c>
      <c r="H22" s="17">
        <v>48</v>
      </c>
      <c r="I22" s="17">
        <v>132000000000</v>
      </c>
      <c r="J22" s="17">
        <v>0</v>
      </c>
      <c r="K22" s="85">
        <v>44882</v>
      </c>
      <c r="L22" s="17" t="s">
        <v>39</v>
      </c>
      <c r="M22" s="17" t="s">
        <v>40</v>
      </c>
      <c r="N22" s="17" t="s">
        <v>41</v>
      </c>
      <c r="O22" s="17" t="s">
        <v>42</v>
      </c>
      <c r="P22" s="17"/>
      <c r="Q22" s="17">
        <v>0.5</v>
      </c>
      <c r="R22" s="85">
        <v>44932</v>
      </c>
      <c r="S22" s="17" t="s">
        <v>123</v>
      </c>
      <c r="T22" s="17">
        <v>380</v>
      </c>
      <c r="U22" s="17" t="s">
        <v>124</v>
      </c>
      <c r="V22" s="17"/>
      <c r="W22" s="85">
        <v>44937</v>
      </c>
      <c r="X22" s="17" t="s">
        <v>131</v>
      </c>
      <c r="Y22" s="17" t="s">
        <v>48</v>
      </c>
      <c r="Z22" s="17">
        <v>0.08</v>
      </c>
      <c r="AA22" s="86">
        <v>50920000000</v>
      </c>
      <c r="AB22" s="96">
        <f>AA22*0.38/I22</f>
        <v>0.14658787878787879</v>
      </c>
      <c r="AC22" s="88">
        <f t="shared" si="1"/>
        <v>-0.83390193960742187</v>
      </c>
      <c r="AD22" s="17" t="s">
        <v>58</v>
      </c>
      <c r="AE22" s="17" t="s">
        <v>58</v>
      </c>
      <c r="AF22" s="17"/>
    </row>
    <row r="23" spans="1:32">
      <c r="A23" s="19" t="s">
        <v>132</v>
      </c>
      <c r="B23" s="2" t="s">
        <v>133</v>
      </c>
      <c r="C23" s="18" t="s">
        <v>61</v>
      </c>
      <c r="D23" s="4" t="s">
        <v>134</v>
      </c>
      <c r="E23" s="2" t="s">
        <v>135</v>
      </c>
      <c r="F23" s="17" t="s">
        <v>37</v>
      </c>
      <c r="G23" s="2" t="s">
        <v>136</v>
      </c>
      <c r="H23" s="17">
        <v>48</v>
      </c>
      <c r="I23" s="99">
        <v>142000000000</v>
      </c>
      <c r="J23" s="17">
        <v>0</v>
      </c>
      <c r="K23" s="100">
        <v>44945</v>
      </c>
      <c r="L23" s="17" t="s">
        <v>63</v>
      </c>
      <c r="M23" s="17" t="s">
        <v>64</v>
      </c>
      <c r="N23" s="17" t="s">
        <v>65</v>
      </c>
      <c r="O23" s="17"/>
      <c r="P23" s="17"/>
      <c r="Q23" s="17">
        <v>0.28000000000000003</v>
      </c>
      <c r="R23" s="4" t="s">
        <v>137</v>
      </c>
      <c r="S23" s="2" t="s">
        <v>44</v>
      </c>
      <c r="T23" s="17" t="s">
        <v>45</v>
      </c>
      <c r="U23" s="2" t="s">
        <v>124</v>
      </c>
      <c r="W23" s="85">
        <v>44952</v>
      </c>
      <c r="X23" s="2" t="s">
        <v>138</v>
      </c>
      <c r="Y23" s="17" t="s">
        <v>48</v>
      </c>
      <c r="Z23" s="7">
        <v>0.22</v>
      </c>
      <c r="AA23" s="99">
        <v>143640000000</v>
      </c>
      <c r="AB23" s="96">
        <f>AA23*0.285/I23</f>
        <v>0.28829154929577466</v>
      </c>
      <c r="AC23" s="88">
        <f t="shared" si="1"/>
        <v>-0.54016808792051074</v>
      </c>
      <c r="AD23" s="17" t="s">
        <v>58</v>
      </c>
      <c r="AE23" s="17" t="s">
        <v>58</v>
      </c>
    </row>
    <row r="24" spans="1:32">
      <c r="A24" s="19" t="s">
        <v>139</v>
      </c>
      <c r="B24" s="2" t="s">
        <v>140</v>
      </c>
      <c r="C24" s="18" t="s">
        <v>61</v>
      </c>
      <c r="D24" s="4" t="s">
        <v>134</v>
      </c>
      <c r="E24" s="2" t="s">
        <v>135</v>
      </c>
      <c r="F24" s="17" t="s">
        <v>37</v>
      </c>
      <c r="G24" s="2" t="s">
        <v>136</v>
      </c>
      <c r="H24" s="17">
        <v>48</v>
      </c>
      <c r="I24" s="99">
        <v>142000000000</v>
      </c>
      <c r="J24" s="17">
        <v>0</v>
      </c>
      <c r="K24" s="100">
        <v>44945</v>
      </c>
      <c r="L24" s="2" t="s">
        <v>54</v>
      </c>
      <c r="M24" s="17" t="s">
        <v>40</v>
      </c>
      <c r="N24" s="17" t="s">
        <v>55</v>
      </c>
      <c r="O24" s="17" t="s">
        <v>56</v>
      </c>
      <c r="P24" s="17"/>
      <c r="Q24" s="17">
        <v>0.5</v>
      </c>
      <c r="R24" s="4" t="s">
        <v>137</v>
      </c>
      <c r="S24" s="2" t="s">
        <v>44</v>
      </c>
      <c r="T24" s="17" t="s">
        <v>45</v>
      </c>
      <c r="U24" s="2" t="s">
        <v>124</v>
      </c>
      <c r="W24" s="85">
        <v>44952</v>
      </c>
      <c r="X24" s="2" t="s">
        <v>141</v>
      </c>
      <c r="Y24" s="17" t="s">
        <v>48</v>
      </c>
      <c r="Z24" s="7">
        <v>0.2</v>
      </c>
      <c r="AA24" s="99">
        <v>110580000000</v>
      </c>
      <c r="AB24" s="96">
        <f>AA24*0.342/I24</f>
        <v>0.26632647887323946</v>
      </c>
      <c r="AC24" s="88">
        <f t="shared" si="1"/>
        <v>-0.57458565272420392</v>
      </c>
      <c r="AD24" s="17" t="s">
        <v>58</v>
      </c>
      <c r="AE24" s="17" t="s">
        <v>58</v>
      </c>
    </row>
    <row r="25" spans="1:32">
      <c r="A25" s="19" t="s">
        <v>142</v>
      </c>
      <c r="B25" s="2" t="s">
        <v>143</v>
      </c>
      <c r="C25" s="18" t="s">
        <v>61</v>
      </c>
      <c r="D25" s="4" t="s">
        <v>134</v>
      </c>
      <c r="E25" s="2" t="s">
        <v>144</v>
      </c>
      <c r="F25" s="17" t="s">
        <v>37</v>
      </c>
      <c r="G25" s="2" t="s">
        <v>145</v>
      </c>
      <c r="H25" s="17">
        <v>48</v>
      </c>
      <c r="I25" s="99">
        <v>152000000000</v>
      </c>
      <c r="J25" s="17">
        <v>0</v>
      </c>
      <c r="K25" s="100">
        <v>44945</v>
      </c>
      <c r="L25" s="17" t="s">
        <v>63</v>
      </c>
      <c r="M25" s="17" t="s">
        <v>64</v>
      </c>
      <c r="N25" s="17" t="s">
        <v>65</v>
      </c>
      <c r="O25" s="17"/>
      <c r="P25" s="17"/>
      <c r="Q25" s="17">
        <v>0.28000000000000003</v>
      </c>
      <c r="R25" s="4" t="s">
        <v>137</v>
      </c>
      <c r="S25" s="2" t="s">
        <v>44</v>
      </c>
      <c r="T25" s="17" t="s">
        <v>45</v>
      </c>
      <c r="U25" s="2" t="s">
        <v>124</v>
      </c>
      <c r="W25" s="85">
        <v>44952</v>
      </c>
      <c r="X25" s="2" t="s">
        <v>146</v>
      </c>
      <c r="Y25" s="17" t="s">
        <v>48</v>
      </c>
      <c r="Z25" s="7">
        <v>0.23</v>
      </c>
      <c r="AA25" s="99">
        <v>269800000000</v>
      </c>
      <c r="AB25" s="96">
        <f>AA25*0.285/I25</f>
        <v>0.50587499999999996</v>
      </c>
      <c r="AC25" s="88">
        <f t="shared" si="1"/>
        <v>-0.29595678260037694</v>
      </c>
      <c r="AD25" s="17" t="s">
        <v>58</v>
      </c>
      <c r="AE25" s="17" t="s">
        <v>58</v>
      </c>
    </row>
    <row r="26" spans="1:32">
      <c r="A26" s="19" t="s">
        <v>147</v>
      </c>
      <c r="B26" s="2" t="s">
        <v>148</v>
      </c>
      <c r="C26" s="18" t="s">
        <v>61</v>
      </c>
      <c r="D26" s="4" t="s">
        <v>134</v>
      </c>
      <c r="E26" s="2" t="s">
        <v>144</v>
      </c>
      <c r="F26" s="17" t="s">
        <v>37</v>
      </c>
      <c r="G26" s="2" t="s">
        <v>145</v>
      </c>
      <c r="H26" s="17">
        <v>48</v>
      </c>
      <c r="I26" s="99">
        <v>152000000000</v>
      </c>
      <c r="J26" s="17">
        <v>0</v>
      </c>
      <c r="K26" s="100">
        <v>44945</v>
      </c>
      <c r="L26" s="2" t="s">
        <v>54</v>
      </c>
      <c r="M26" s="17" t="s">
        <v>40</v>
      </c>
      <c r="N26" s="17" t="s">
        <v>55</v>
      </c>
      <c r="O26" s="17" t="s">
        <v>56</v>
      </c>
      <c r="P26" s="17"/>
      <c r="Q26" s="17">
        <v>0.5</v>
      </c>
      <c r="R26" s="4" t="s">
        <v>137</v>
      </c>
      <c r="S26" s="2" t="s">
        <v>44</v>
      </c>
      <c r="T26" s="17" t="s">
        <v>45</v>
      </c>
      <c r="U26" s="2" t="s">
        <v>124</v>
      </c>
      <c r="W26" s="85">
        <v>44952</v>
      </c>
      <c r="X26" s="2" t="s">
        <v>146</v>
      </c>
      <c r="Y26" s="17" t="s">
        <v>48</v>
      </c>
      <c r="Z26" s="7">
        <v>0.14000000000000001</v>
      </c>
      <c r="AA26" s="99">
        <v>167580000000</v>
      </c>
      <c r="AB26" s="96">
        <f>AA26*0.342/I26</f>
        <v>0.37705500000000003</v>
      </c>
      <c r="AC26" s="88">
        <f t="shared" si="1"/>
        <v>-0.4235952958039888</v>
      </c>
      <c r="AD26" s="17" t="s">
        <v>58</v>
      </c>
      <c r="AE26" s="17" t="s">
        <v>58</v>
      </c>
    </row>
    <row r="27" spans="1:32">
      <c r="A27" s="19" t="s">
        <v>149</v>
      </c>
      <c r="B27" s="2" t="s">
        <v>150</v>
      </c>
      <c r="C27" s="18" t="s">
        <v>35</v>
      </c>
      <c r="D27" s="4" t="s">
        <v>134</v>
      </c>
      <c r="E27" s="2" t="s">
        <v>151</v>
      </c>
      <c r="F27" s="17" t="s">
        <v>37</v>
      </c>
      <c r="G27" s="2" t="s">
        <v>152</v>
      </c>
      <c r="H27" s="17">
        <v>48</v>
      </c>
      <c r="I27" s="99">
        <v>334000000000</v>
      </c>
      <c r="J27" s="17">
        <v>0</v>
      </c>
      <c r="K27" s="100">
        <v>44945</v>
      </c>
      <c r="L27" s="17" t="s">
        <v>63</v>
      </c>
      <c r="M27" s="17" t="s">
        <v>64</v>
      </c>
      <c r="N27" s="17" t="s">
        <v>65</v>
      </c>
      <c r="O27" s="17"/>
      <c r="P27" s="17"/>
      <c r="Q27" s="17">
        <v>0.28000000000000003</v>
      </c>
      <c r="R27" s="4" t="s">
        <v>137</v>
      </c>
      <c r="S27" s="2" t="s">
        <v>44</v>
      </c>
      <c r="T27" s="17" t="s">
        <v>45</v>
      </c>
      <c r="U27" s="2" t="s">
        <v>124</v>
      </c>
      <c r="W27" s="85">
        <v>44952</v>
      </c>
      <c r="X27" s="2" t="s">
        <v>153</v>
      </c>
      <c r="Y27" s="17" t="s">
        <v>48</v>
      </c>
      <c r="Z27" s="7">
        <v>0.28999999999999998</v>
      </c>
      <c r="AA27" s="99">
        <v>406600000000</v>
      </c>
      <c r="AB27" s="96">
        <f>AA27*0.285/I27</f>
        <v>0.34694910179640714</v>
      </c>
      <c r="AC27" s="88">
        <f t="shared" si="1"/>
        <v>-0.45973423250103451</v>
      </c>
      <c r="AD27" s="17" t="s">
        <v>58</v>
      </c>
      <c r="AE27" s="17" t="s">
        <v>58</v>
      </c>
    </row>
    <row r="28" spans="1:32">
      <c r="A28" s="19" t="s">
        <v>154</v>
      </c>
      <c r="B28" s="2" t="s">
        <v>155</v>
      </c>
      <c r="C28" s="18" t="s">
        <v>35</v>
      </c>
      <c r="D28" s="4" t="s">
        <v>134</v>
      </c>
      <c r="E28" s="2" t="s">
        <v>151</v>
      </c>
      <c r="F28" s="17" t="s">
        <v>37</v>
      </c>
      <c r="G28" s="2" t="s">
        <v>152</v>
      </c>
      <c r="H28" s="17">
        <v>48</v>
      </c>
      <c r="I28" s="99">
        <v>334000000000</v>
      </c>
      <c r="J28" s="17">
        <v>0</v>
      </c>
      <c r="K28" s="100">
        <v>44945</v>
      </c>
      <c r="L28" s="2" t="s">
        <v>54</v>
      </c>
      <c r="M28" s="17" t="s">
        <v>40</v>
      </c>
      <c r="N28" s="17" t="s">
        <v>55</v>
      </c>
      <c r="O28" s="17" t="s">
        <v>56</v>
      </c>
      <c r="P28" s="17"/>
      <c r="Q28" s="17">
        <v>0.5</v>
      </c>
      <c r="R28" s="4" t="s">
        <v>137</v>
      </c>
      <c r="S28" s="2" t="s">
        <v>44</v>
      </c>
      <c r="T28" s="17" t="s">
        <v>45</v>
      </c>
      <c r="U28" s="2" t="s">
        <v>124</v>
      </c>
      <c r="W28" s="85">
        <v>44952</v>
      </c>
      <c r="X28" s="2" t="s">
        <v>141</v>
      </c>
      <c r="Y28" s="17" t="s">
        <v>48</v>
      </c>
      <c r="Z28" s="7">
        <v>0.23</v>
      </c>
      <c r="AA28" s="99">
        <v>395200000000</v>
      </c>
      <c r="AB28" s="96">
        <f>AA28*0.342/I28</f>
        <v>0.40466586826347312</v>
      </c>
      <c r="AC28" s="88">
        <f t="shared" si="1"/>
        <v>-0.39290342483983887</v>
      </c>
      <c r="AD28" s="17" t="s">
        <v>58</v>
      </c>
      <c r="AE28" s="17" t="s">
        <v>58</v>
      </c>
    </row>
    <row r="29" spans="1:32">
      <c r="A29" s="19" t="s">
        <v>156</v>
      </c>
      <c r="B29" s="2" t="s">
        <v>157</v>
      </c>
      <c r="C29" s="18" t="s">
        <v>35</v>
      </c>
      <c r="D29" s="4" t="s">
        <v>134</v>
      </c>
      <c r="E29" s="2" t="s">
        <v>158</v>
      </c>
      <c r="F29" s="17" t="s">
        <v>37</v>
      </c>
      <c r="G29" s="2" t="s">
        <v>145</v>
      </c>
      <c r="H29" s="17">
        <v>48</v>
      </c>
      <c r="I29" s="99">
        <v>346000000000</v>
      </c>
      <c r="J29" s="17">
        <v>0</v>
      </c>
      <c r="K29" s="100">
        <v>44945</v>
      </c>
      <c r="L29" s="2" t="s">
        <v>54</v>
      </c>
      <c r="M29" s="17" t="s">
        <v>40</v>
      </c>
      <c r="N29" s="17" t="s">
        <v>55</v>
      </c>
      <c r="O29" s="17" t="s">
        <v>56</v>
      </c>
      <c r="P29" s="17"/>
      <c r="Q29" s="17">
        <v>0.5</v>
      </c>
      <c r="R29" s="4" t="s">
        <v>137</v>
      </c>
      <c r="S29" s="2" t="s">
        <v>44</v>
      </c>
      <c r="T29" s="17" t="s">
        <v>45</v>
      </c>
      <c r="U29" s="2" t="s">
        <v>124</v>
      </c>
      <c r="W29" s="85">
        <v>44952</v>
      </c>
      <c r="X29" s="2" t="s">
        <v>159</v>
      </c>
      <c r="Y29" s="17" t="s">
        <v>48</v>
      </c>
      <c r="Z29" s="7">
        <v>0.36</v>
      </c>
      <c r="AA29" s="99">
        <v>231800000000</v>
      </c>
      <c r="AB29" s="96">
        <f>AA29*0.342/I29</f>
        <v>0.22912023121387284</v>
      </c>
      <c r="AC29" s="88">
        <f t="shared" si="1"/>
        <v>-0.63993656110906438</v>
      </c>
      <c r="AD29" s="17" t="s">
        <v>58</v>
      </c>
      <c r="AE29" s="17" t="s">
        <v>58</v>
      </c>
    </row>
    <row r="30" spans="1:32">
      <c r="A30" s="19" t="s">
        <v>160</v>
      </c>
      <c r="B30" s="2" t="s">
        <v>161</v>
      </c>
      <c r="C30" s="18" t="s">
        <v>35</v>
      </c>
      <c r="D30" s="4" t="s">
        <v>134</v>
      </c>
      <c r="E30" s="2" t="s">
        <v>151</v>
      </c>
      <c r="F30" s="17" t="s">
        <v>37</v>
      </c>
      <c r="G30" s="2" t="s">
        <v>152</v>
      </c>
      <c r="H30" s="17">
        <v>48</v>
      </c>
      <c r="I30" s="99">
        <v>334000000000</v>
      </c>
      <c r="J30" s="17">
        <v>0</v>
      </c>
      <c r="K30" s="100">
        <v>44945</v>
      </c>
      <c r="L30" s="2" t="s">
        <v>39</v>
      </c>
      <c r="M30" s="17" t="s">
        <v>40</v>
      </c>
      <c r="N30" s="17" t="s">
        <v>41</v>
      </c>
      <c r="O30" s="17" t="s">
        <v>42</v>
      </c>
      <c r="P30" s="17"/>
      <c r="Q30" s="17">
        <v>0.5</v>
      </c>
      <c r="R30" s="4" t="s">
        <v>137</v>
      </c>
      <c r="S30" s="2" t="s">
        <v>123</v>
      </c>
      <c r="T30" s="17">
        <v>380</v>
      </c>
      <c r="U30" s="2" t="s">
        <v>124</v>
      </c>
      <c r="W30" s="85">
        <v>44952</v>
      </c>
      <c r="X30" s="2" t="s">
        <v>162</v>
      </c>
      <c r="Y30" s="17" t="s">
        <v>48</v>
      </c>
      <c r="Z30" s="7">
        <v>0.2</v>
      </c>
      <c r="AA30" s="99">
        <v>338200000000</v>
      </c>
      <c r="AB30" s="96">
        <f>AA30*0.38/I30</f>
        <v>0.38477844311377246</v>
      </c>
      <c r="AC30" s="88">
        <f>LOG10(AB30)</f>
        <v>-0.41478926693303136</v>
      </c>
      <c r="AD30" s="17" t="s">
        <v>58</v>
      </c>
      <c r="AE30" s="17" t="s">
        <v>58</v>
      </c>
    </row>
    <row r="31" spans="1:32">
      <c r="A31" s="19" t="s">
        <v>163</v>
      </c>
      <c r="B31" s="2" t="s">
        <v>164</v>
      </c>
      <c r="C31" s="18" t="s">
        <v>35</v>
      </c>
      <c r="D31" s="4" t="s">
        <v>134</v>
      </c>
      <c r="E31" s="2" t="s">
        <v>158</v>
      </c>
      <c r="F31" s="17" t="s">
        <v>37</v>
      </c>
      <c r="G31" s="2" t="s">
        <v>145</v>
      </c>
      <c r="H31" s="17">
        <v>48</v>
      </c>
      <c r="I31" s="99">
        <v>346000000000</v>
      </c>
      <c r="J31" s="17">
        <v>0</v>
      </c>
      <c r="K31" s="100">
        <v>44945</v>
      </c>
      <c r="L31" s="2" t="s">
        <v>39</v>
      </c>
      <c r="M31" s="17" t="s">
        <v>40</v>
      </c>
      <c r="N31" s="17" t="s">
        <v>41</v>
      </c>
      <c r="O31" s="17" t="s">
        <v>42</v>
      </c>
      <c r="P31" s="17"/>
      <c r="Q31" s="17">
        <v>0.5</v>
      </c>
      <c r="R31" s="4" t="s">
        <v>137</v>
      </c>
      <c r="S31" s="2" t="s">
        <v>123</v>
      </c>
      <c r="T31" s="17">
        <v>380</v>
      </c>
      <c r="U31" s="2" t="s">
        <v>124</v>
      </c>
      <c r="W31" s="85">
        <v>44952</v>
      </c>
      <c r="X31" s="2" t="s">
        <v>165</v>
      </c>
      <c r="Y31" s="17" t="s">
        <v>48</v>
      </c>
      <c r="Z31" s="7">
        <v>0.2</v>
      </c>
      <c r="AA31" s="99">
        <v>216600000000</v>
      </c>
      <c r="AB31" s="96">
        <f>AA31*0.38/I31</f>
        <v>0.2378843930635838</v>
      </c>
      <c r="AC31" s="88">
        <f>LOG10(AB31)</f>
        <v>-0.62363404988666493</v>
      </c>
      <c r="AD31" s="17" t="s">
        <v>58</v>
      </c>
      <c r="AE31" s="17" t="s">
        <v>58</v>
      </c>
    </row>
    <row r="32" spans="1:32">
      <c r="A32" s="19" t="s">
        <v>166</v>
      </c>
      <c r="B32" s="2" t="s">
        <v>167</v>
      </c>
      <c r="C32" s="18" t="s">
        <v>61</v>
      </c>
      <c r="D32" s="4" t="s">
        <v>134</v>
      </c>
      <c r="E32" s="2" t="s">
        <v>135</v>
      </c>
      <c r="F32" s="17" t="s">
        <v>37</v>
      </c>
      <c r="G32" s="2" t="s">
        <v>136</v>
      </c>
      <c r="H32" s="17">
        <v>48</v>
      </c>
      <c r="I32" s="99">
        <v>142000000000</v>
      </c>
      <c r="J32" s="17">
        <v>0</v>
      </c>
      <c r="K32" s="100">
        <v>44945</v>
      </c>
      <c r="L32" s="2" t="s">
        <v>39</v>
      </c>
      <c r="M32" s="17" t="s">
        <v>40</v>
      </c>
      <c r="N32" s="17" t="s">
        <v>41</v>
      </c>
      <c r="O32" s="17" t="s">
        <v>42</v>
      </c>
      <c r="P32" s="17"/>
      <c r="Q32" s="17">
        <v>0.5</v>
      </c>
      <c r="R32" s="4" t="s">
        <v>137</v>
      </c>
      <c r="S32" s="2" t="s">
        <v>123</v>
      </c>
      <c r="T32" s="17">
        <v>380</v>
      </c>
      <c r="U32" s="2" t="s">
        <v>124</v>
      </c>
      <c r="W32" s="85">
        <v>44952</v>
      </c>
      <c r="X32" s="2" t="s">
        <v>168</v>
      </c>
      <c r="Y32" s="17" t="s">
        <v>48</v>
      </c>
      <c r="Z32" s="7">
        <v>0.16</v>
      </c>
      <c r="AA32" s="99">
        <v>133000000000</v>
      </c>
      <c r="AB32" s="96">
        <f>AA32*0.38/I32</f>
        <v>0.35591549295774649</v>
      </c>
      <c r="AC32" s="88">
        <f>LOG10(AB32)</f>
        <v>-0.44865310679916054</v>
      </c>
      <c r="AD32" s="17" t="s">
        <v>58</v>
      </c>
      <c r="AE32" s="17" t="s">
        <v>58</v>
      </c>
    </row>
    <row r="33" spans="1:32">
      <c r="A33" s="19" t="s">
        <v>169</v>
      </c>
      <c r="B33" s="2" t="s">
        <v>170</v>
      </c>
      <c r="C33" s="18" t="s">
        <v>61</v>
      </c>
      <c r="D33" s="4" t="s">
        <v>134</v>
      </c>
      <c r="E33" s="2" t="s">
        <v>144</v>
      </c>
      <c r="F33" s="17" t="s">
        <v>37</v>
      </c>
      <c r="G33" s="2" t="s">
        <v>145</v>
      </c>
      <c r="H33" s="17">
        <v>48</v>
      </c>
      <c r="I33" s="99">
        <v>152000000000</v>
      </c>
      <c r="J33" s="17">
        <v>0</v>
      </c>
      <c r="K33" s="100">
        <v>44945</v>
      </c>
      <c r="L33" s="2" t="s">
        <v>39</v>
      </c>
      <c r="M33" s="17" t="s">
        <v>40</v>
      </c>
      <c r="N33" s="17" t="s">
        <v>41</v>
      </c>
      <c r="O33" s="17" t="s">
        <v>42</v>
      </c>
      <c r="P33" s="17"/>
      <c r="Q33" s="17">
        <v>0.5</v>
      </c>
      <c r="R33" s="4" t="s">
        <v>137</v>
      </c>
      <c r="S33" s="2" t="s">
        <v>123</v>
      </c>
      <c r="T33" s="17">
        <v>380</v>
      </c>
      <c r="U33" s="2" t="s">
        <v>124</v>
      </c>
      <c r="W33" s="85">
        <v>44952</v>
      </c>
      <c r="X33" s="2" t="s">
        <v>171</v>
      </c>
      <c r="Y33" s="17" t="s">
        <v>48</v>
      </c>
      <c r="Z33" s="7">
        <v>0.09</v>
      </c>
      <c r="AA33" s="99">
        <v>157700000000</v>
      </c>
      <c r="AB33" s="96">
        <f>AA33*0.38/I33</f>
        <v>0.39424999999999999</v>
      </c>
      <c r="AC33" s="88">
        <f>LOG10(AB33)</f>
        <v>-0.40422829799905952</v>
      </c>
      <c r="AD33" s="17" t="s">
        <v>58</v>
      </c>
      <c r="AE33" s="17" t="s">
        <v>58</v>
      </c>
    </row>
    <row r="34" spans="1:32">
      <c r="A34" s="19" t="s">
        <v>172</v>
      </c>
      <c r="B34" s="2" t="s">
        <v>173</v>
      </c>
      <c r="C34" s="18" t="s">
        <v>35</v>
      </c>
      <c r="D34" s="4" t="s">
        <v>134</v>
      </c>
      <c r="E34" s="2" t="s">
        <v>158</v>
      </c>
      <c r="F34" s="17" t="s">
        <v>37</v>
      </c>
      <c r="G34" s="2" t="s">
        <v>145</v>
      </c>
      <c r="H34" s="17">
        <v>48</v>
      </c>
      <c r="I34" s="99">
        <v>346000000000</v>
      </c>
      <c r="J34" s="17">
        <v>0</v>
      </c>
      <c r="K34" s="100">
        <v>44945</v>
      </c>
      <c r="L34" s="2" t="s">
        <v>63</v>
      </c>
      <c r="M34" s="17" t="s">
        <v>64</v>
      </c>
      <c r="N34" s="17" t="s">
        <v>65</v>
      </c>
      <c r="O34" s="17"/>
      <c r="P34" s="17"/>
      <c r="Q34" s="17">
        <v>0.28000000000000003</v>
      </c>
      <c r="R34" s="4" t="s">
        <v>137</v>
      </c>
      <c r="S34" s="2" t="s">
        <v>44</v>
      </c>
      <c r="T34" s="17" t="s">
        <v>45</v>
      </c>
      <c r="U34" s="2" t="s">
        <v>124</v>
      </c>
      <c r="W34" s="85">
        <v>44952</v>
      </c>
      <c r="X34" s="2" t="s">
        <v>174</v>
      </c>
      <c r="Y34" s="17" t="s">
        <v>48</v>
      </c>
      <c r="Z34" s="7" t="s">
        <v>49</v>
      </c>
      <c r="AA34" s="99" t="s">
        <v>49</v>
      </c>
      <c r="AB34" s="7" t="s">
        <v>49</v>
      </c>
      <c r="AC34" s="7" t="s">
        <v>49</v>
      </c>
      <c r="AD34" s="2" t="s">
        <v>50</v>
      </c>
      <c r="AE34" s="2" t="s">
        <v>50</v>
      </c>
      <c r="AF34" s="86" t="s">
        <v>51</v>
      </c>
    </row>
    <row r="35" spans="1:32" s="34" customFormat="1">
      <c r="A35" s="7" t="s">
        <v>175</v>
      </c>
      <c r="B35" s="7" t="s">
        <v>176</v>
      </c>
      <c r="C35" s="18" t="s">
        <v>61</v>
      </c>
      <c r="D35" s="101"/>
      <c r="E35" s="7" t="s">
        <v>177</v>
      </c>
      <c r="F35" s="7" t="s">
        <v>178</v>
      </c>
      <c r="G35" s="7" t="s">
        <v>179</v>
      </c>
      <c r="H35" s="7"/>
      <c r="I35" s="7"/>
      <c r="J35" s="7"/>
      <c r="K35" s="100">
        <v>44854</v>
      </c>
      <c r="L35" s="7" t="s">
        <v>63</v>
      </c>
      <c r="M35" s="17" t="s">
        <v>64</v>
      </c>
      <c r="N35" s="17" t="s">
        <v>65</v>
      </c>
      <c r="O35" s="17"/>
      <c r="P35" s="17"/>
      <c r="Q35" s="17">
        <v>0.28000000000000003</v>
      </c>
      <c r="R35" s="100">
        <v>44950</v>
      </c>
      <c r="S35" s="7" t="s">
        <v>180</v>
      </c>
      <c r="T35" s="7" t="s">
        <v>181</v>
      </c>
      <c r="U35" s="7" t="s">
        <v>124</v>
      </c>
      <c r="V35" s="7"/>
      <c r="W35" s="100">
        <v>44966</v>
      </c>
      <c r="X35" s="7" t="s">
        <v>182</v>
      </c>
      <c r="Y35" s="17" t="s">
        <v>48</v>
      </c>
      <c r="Z35" s="7">
        <v>0.28999999999999998</v>
      </c>
      <c r="AA35" s="99">
        <v>110833333333.33334</v>
      </c>
      <c r="AB35" s="102"/>
      <c r="AC35" s="103"/>
      <c r="AD35" s="7" t="s">
        <v>50</v>
      </c>
      <c r="AE35" s="7" t="s">
        <v>50</v>
      </c>
      <c r="AF35" s="7"/>
    </row>
    <row r="36" spans="1:32" s="34" customFormat="1">
      <c r="A36" s="7" t="s">
        <v>183</v>
      </c>
      <c r="B36" s="7" t="s">
        <v>184</v>
      </c>
      <c r="C36" s="18" t="s">
        <v>35</v>
      </c>
      <c r="D36" s="101"/>
      <c r="E36" s="7" t="s">
        <v>177</v>
      </c>
      <c r="F36" s="7" t="s">
        <v>178</v>
      </c>
      <c r="G36" s="7" t="s">
        <v>185</v>
      </c>
      <c r="H36" s="7"/>
      <c r="I36" s="7"/>
      <c r="J36" s="7"/>
      <c r="K36" s="100">
        <v>44907</v>
      </c>
      <c r="L36" s="7" t="s">
        <v>63</v>
      </c>
      <c r="M36" s="17" t="s">
        <v>64</v>
      </c>
      <c r="N36" s="17" t="s">
        <v>65</v>
      </c>
      <c r="O36" s="17"/>
      <c r="P36" s="17"/>
      <c r="Q36" s="17">
        <v>0.28000000000000003</v>
      </c>
      <c r="R36" s="100">
        <v>44950</v>
      </c>
      <c r="S36" s="7" t="s">
        <v>180</v>
      </c>
      <c r="T36" s="7" t="s">
        <v>181</v>
      </c>
      <c r="U36" s="7" t="s">
        <v>124</v>
      </c>
      <c r="V36" s="7"/>
      <c r="W36" s="100">
        <v>44966</v>
      </c>
      <c r="X36" s="7" t="s">
        <v>186</v>
      </c>
      <c r="Y36" s="17" t="s">
        <v>48</v>
      </c>
      <c r="Z36" s="7">
        <v>0.21</v>
      </c>
      <c r="AA36" s="99">
        <v>272333333333.33334</v>
      </c>
      <c r="AB36" s="102"/>
      <c r="AC36" s="103"/>
      <c r="AD36" s="7" t="s">
        <v>50</v>
      </c>
      <c r="AE36" s="7" t="s">
        <v>50</v>
      </c>
      <c r="AF36" s="7"/>
    </row>
    <row r="37" spans="1:32" s="34" customFormat="1">
      <c r="A37" s="7" t="s">
        <v>187</v>
      </c>
      <c r="B37" s="7" t="s">
        <v>188</v>
      </c>
      <c r="C37" s="18" t="s">
        <v>61</v>
      </c>
      <c r="D37" s="101"/>
      <c r="E37" s="7" t="s">
        <v>177</v>
      </c>
      <c r="F37" s="7" t="s">
        <v>178</v>
      </c>
      <c r="G37" s="7" t="s">
        <v>179</v>
      </c>
      <c r="H37" s="7"/>
      <c r="I37" s="7"/>
      <c r="J37" s="7"/>
      <c r="K37" s="100">
        <v>44923</v>
      </c>
      <c r="L37" s="7" t="s">
        <v>63</v>
      </c>
      <c r="M37" s="17" t="s">
        <v>64</v>
      </c>
      <c r="N37" s="17" t="s">
        <v>65</v>
      </c>
      <c r="O37" s="17"/>
      <c r="P37" s="17"/>
      <c r="Q37" s="17">
        <v>0.28000000000000003</v>
      </c>
      <c r="R37" s="100">
        <v>44950</v>
      </c>
      <c r="S37" s="7" t="s">
        <v>180</v>
      </c>
      <c r="T37" s="7" t="s">
        <v>181</v>
      </c>
      <c r="U37" s="7" t="s">
        <v>124</v>
      </c>
      <c r="V37" s="7"/>
      <c r="W37" s="100">
        <v>44966</v>
      </c>
      <c r="X37" s="7" t="s">
        <v>189</v>
      </c>
      <c r="Y37" s="17" t="s">
        <v>48</v>
      </c>
      <c r="Z37" s="7">
        <v>0.39</v>
      </c>
      <c r="AA37" s="99">
        <v>107033333333.33334</v>
      </c>
      <c r="AB37" s="102"/>
      <c r="AC37" s="103"/>
      <c r="AD37" s="7" t="s">
        <v>50</v>
      </c>
      <c r="AE37" s="7" t="s">
        <v>50</v>
      </c>
      <c r="AF37" s="7"/>
    </row>
    <row r="38" spans="1:32" s="34" customFormat="1">
      <c r="A38" s="7" t="s">
        <v>190</v>
      </c>
      <c r="B38" s="7" t="s">
        <v>191</v>
      </c>
      <c r="C38" s="18" t="s">
        <v>61</v>
      </c>
      <c r="D38" s="101"/>
      <c r="E38" s="7" t="s">
        <v>177</v>
      </c>
      <c r="F38" s="7" t="s">
        <v>178</v>
      </c>
      <c r="G38" s="7" t="s">
        <v>179</v>
      </c>
      <c r="H38" s="7"/>
      <c r="I38" s="7"/>
      <c r="J38" s="7"/>
      <c r="K38" s="100">
        <v>44854</v>
      </c>
      <c r="L38" s="7" t="s">
        <v>63</v>
      </c>
      <c r="M38" s="17" t="s">
        <v>64</v>
      </c>
      <c r="N38" s="17" t="s">
        <v>65</v>
      </c>
      <c r="O38" s="17"/>
      <c r="P38" s="17"/>
      <c r="Q38" s="17">
        <v>0.28000000000000003</v>
      </c>
      <c r="R38" s="100">
        <v>44953</v>
      </c>
      <c r="S38" s="7" t="s">
        <v>44</v>
      </c>
      <c r="T38" s="7" t="s">
        <v>45</v>
      </c>
      <c r="U38" s="7" t="s">
        <v>124</v>
      </c>
      <c r="V38" s="7"/>
      <c r="W38" s="100">
        <v>44966</v>
      </c>
      <c r="X38" s="7" t="s">
        <v>192</v>
      </c>
      <c r="Y38" s="17" t="s">
        <v>48</v>
      </c>
      <c r="Z38" s="7">
        <v>0.32</v>
      </c>
      <c r="AA38" s="99">
        <v>133633333333.33336</v>
      </c>
      <c r="AB38" s="102"/>
      <c r="AC38" s="103"/>
      <c r="AD38" s="7" t="s">
        <v>50</v>
      </c>
      <c r="AE38" s="7" t="s">
        <v>50</v>
      </c>
      <c r="AF38" s="7"/>
    </row>
    <row r="39" spans="1:32" s="34" customFormat="1">
      <c r="A39" s="7" t="s">
        <v>193</v>
      </c>
      <c r="B39" s="7" t="s">
        <v>194</v>
      </c>
      <c r="C39" s="18" t="s">
        <v>35</v>
      </c>
      <c r="D39" s="101"/>
      <c r="E39" s="7" t="s">
        <v>177</v>
      </c>
      <c r="F39" s="7" t="s">
        <v>178</v>
      </c>
      <c r="G39" s="7" t="s">
        <v>185</v>
      </c>
      <c r="H39" s="7"/>
      <c r="I39" s="7"/>
      <c r="J39" s="7"/>
      <c r="K39" s="100">
        <v>44907</v>
      </c>
      <c r="L39" s="7" t="s">
        <v>63</v>
      </c>
      <c r="M39" s="17" t="s">
        <v>64</v>
      </c>
      <c r="N39" s="17" t="s">
        <v>65</v>
      </c>
      <c r="O39" s="17"/>
      <c r="P39" s="17"/>
      <c r="Q39" s="17">
        <v>0.28000000000000003</v>
      </c>
      <c r="R39" s="100">
        <v>44953</v>
      </c>
      <c r="S39" s="7" t="s">
        <v>44</v>
      </c>
      <c r="T39" s="7" t="s">
        <v>45</v>
      </c>
      <c r="U39" s="7" t="s">
        <v>124</v>
      </c>
      <c r="V39" s="7"/>
      <c r="W39" s="100">
        <v>44966</v>
      </c>
      <c r="X39" s="7" t="s">
        <v>195</v>
      </c>
      <c r="Y39" s="17" t="s">
        <v>48</v>
      </c>
      <c r="Z39" s="7">
        <v>0.42</v>
      </c>
      <c r="AA39" s="99">
        <v>253333333333.33334</v>
      </c>
      <c r="AB39" s="102"/>
      <c r="AC39" s="103"/>
      <c r="AD39" s="7" t="s">
        <v>50</v>
      </c>
      <c r="AE39" s="7" t="s">
        <v>50</v>
      </c>
      <c r="AF39" s="7"/>
    </row>
    <row r="40" spans="1:32" s="34" customFormat="1">
      <c r="A40" s="7" t="s">
        <v>196</v>
      </c>
      <c r="B40" s="7" t="s">
        <v>197</v>
      </c>
      <c r="C40" s="18" t="s">
        <v>61</v>
      </c>
      <c r="D40" s="101"/>
      <c r="E40" s="7" t="s">
        <v>177</v>
      </c>
      <c r="F40" s="7" t="s">
        <v>178</v>
      </c>
      <c r="G40" s="7" t="s">
        <v>179</v>
      </c>
      <c r="H40" s="7"/>
      <c r="I40" s="7"/>
      <c r="J40" s="7"/>
      <c r="K40" s="100">
        <v>44854</v>
      </c>
      <c r="M40" s="17" t="s">
        <v>64</v>
      </c>
      <c r="N40" s="17" t="s">
        <v>65</v>
      </c>
      <c r="O40" s="17"/>
      <c r="P40" s="17"/>
      <c r="Q40" s="17">
        <v>0.28000000000000003</v>
      </c>
      <c r="R40" s="100">
        <v>44953</v>
      </c>
      <c r="S40" s="7" t="s">
        <v>198</v>
      </c>
      <c r="T40" s="7" t="s">
        <v>199</v>
      </c>
      <c r="U40" s="7" t="s">
        <v>124</v>
      </c>
      <c r="V40" s="7"/>
      <c r="W40" s="100">
        <v>44966</v>
      </c>
      <c r="X40" s="7" t="s">
        <v>186</v>
      </c>
      <c r="Y40" s="17" t="s">
        <v>48</v>
      </c>
      <c r="Z40" s="7">
        <v>0.3</v>
      </c>
      <c r="AA40" s="99">
        <v>141233333333.33337</v>
      </c>
      <c r="AB40" s="102"/>
      <c r="AC40" s="103"/>
      <c r="AD40" s="7" t="s">
        <v>50</v>
      </c>
      <c r="AE40" s="7" t="s">
        <v>50</v>
      </c>
      <c r="AF40" s="7"/>
    </row>
    <row r="41" spans="1:32" s="34" customFormat="1">
      <c r="A41" s="7" t="s">
        <v>200</v>
      </c>
      <c r="B41" s="7" t="s">
        <v>201</v>
      </c>
      <c r="C41" s="18" t="s">
        <v>35</v>
      </c>
      <c r="D41" s="101"/>
      <c r="E41" s="7" t="s">
        <v>177</v>
      </c>
      <c r="F41" s="7" t="s">
        <v>178</v>
      </c>
      <c r="G41" s="7" t="s">
        <v>185</v>
      </c>
      <c r="H41" s="7"/>
      <c r="I41" s="7"/>
      <c r="J41" s="7"/>
      <c r="K41" s="100">
        <v>44907</v>
      </c>
      <c r="L41" s="7" t="s">
        <v>63</v>
      </c>
      <c r="M41" s="17" t="s">
        <v>64</v>
      </c>
      <c r="N41" s="17" t="s">
        <v>65</v>
      </c>
      <c r="O41" s="17"/>
      <c r="P41" s="17"/>
      <c r="Q41" s="17">
        <v>0.28000000000000003</v>
      </c>
      <c r="R41" s="100">
        <v>44953</v>
      </c>
      <c r="S41" s="7" t="s">
        <v>198</v>
      </c>
      <c r="T41" s="7" t="s">
        <v>199</v>
      </c>
      <c r="U41" s="7" t="s">
        <v>124</v>
      </c>
      <c r="V41" s="7"/>
      <c r="W41" s="100">
        <v>44966</v>
      </c>
      <c r="X41" s="7" t="s">
        <v>186</v>
      </c>
      <c r="Y41" s="17" t="s">
        <v>48</v>
      </c>
      <c r="Z41" s="7">
        <v>0.23</v>
      </c>
      <c r="AA41" s="99">
        <v>266000000000</v>
      </c>
      <c r="AB41" s="102"/>
      <c r="AC41" s="103"/>
      <c r="AD41" s="7" t="s">
        <v>50</v>
      </c>
      <c r="AE41" s="7" t="s">
        <v>50</v>
      </c>
      <c r="AF41" s="7"/>
    </row>
    <row r="42" spans="1:32" s="34" customFormat="1">
      <c r="A42" s="7" t="s">
        <v>202</v>
      </c>
      <c r="B42" s="7" t="s">
        <v>203</v>
      </c>
      <c r="C42" s="18" t="s">
        <v>61</v>
      </c>
      <c r="D42" s="101"/>
      <c r="E42" s="7" t="s">
        <v>177</v>
      </c>
      <c r="F42" s="7" t="s">
        <v>178</v>
      </c>
      <c r="G42" s="7" t="s">
        <v>179</v>
      </c>
      <c r="H42" s="7"/>
      <c r="I42" s="7"/>
      <c r="J42" s="7"/>
      <c r="K42" s="100">
        <v>44923</v>
      </c>
      <c r="L42" s="7" t="s">
        <v>63</v>
      </c>
      <c r="M42" s="17" t="s">
        <v>64</v>
      </c>
      <c r="N42" s="17" t="s">
        <v>65</v>
      </c>
      <c r="O42" s="17"/>
      <c r="P42" s="17"/>
      <c r="Q42" s="17">
        <v>0.28000000000000003</v>
      </c>
      <c r="R42" s="100">
        <v>44953</v>
      </c>
      <c r="S42" s="7" t="s">
        <v>198</v>
      </c>
      <c r="T42" s="7" t="s">
        <v>199</v>
      </c>
      <c r="U42" s="7" t="s">
        <v>124</v>
      </c>
      <c r="V42" s="7"/>
      <c r="W42" s="100">
        <v>44966</v>
      </c>
      <c r="X42" s="7" t="s">
        <v>204</v>
      </c>
      <c r="Y42" s="17" t="s">
        <v>48</v>
      </c>
      <c r="Z42" s="7">
        <v>0.39</v>
      </c>
      <c r="AA42" s="99">
        <v>119066666666.66667</v>
      </c>
      <c r="AB42" s="102"/>
      <c r="AC42" s="103"/>
      <c r="AD42" s="7" t="s">
        <v>50</v>
      </c>
      <c r="AE42" s="7" t="s">
        <v>50</v>
      </c>
      <c r="AF42" s="7"/>
    </row>
    <row r="43" spans="1:32" s="34" customFormat="1">
      <c r="A43" s="7" t="s">
        <v>205</v>
      </c>
      <c r="B43" s="7" t="s">
        <v>206</v>
      </c>
      <c r="C43" s="18" t="s">
        <v>61</v>
      </c>
      <c r="D43" s="101" t="s">
        <v>207</v>
      </c>
      <c r="E43" s="7" t="s">
        <v>208</v>
      </c>
      <c r="F43" s="17" t="s">
        <v>37</v>
      </c>
      <c r="G43" s="7" t="s">
        <v>209</v>
      </c>
      <c r="H43" s="7">
        <v>48</v>
      </c>
      <c r="I43" s="99">
        <v>182000000000</v>
      </c>
      <c r="J43" s="7">
        <v>1</v>
      </c>
      <c r="K43" s="100">
        <v>44952</v>
      </c>
      <c r="L43" s="7" t="s">
        <v>39</v>
      </c>
      <c r="M43" s="17" t="s">
        <v>40</v>
      </c>
      <c r="N43" s="17" t="s">
        <v>41</v>
      </c>
      <c r="O43" s="17" t="s">
        <v>42</v>
      </c>
      <c r="P43" s="17"/>
      <c r="Q43" s="17">
        <v>0.5</v>
      </c>
      <c r="R43" s="101" t="s">
        <v>210</v>
      </c>
      <c r="S43" s="7" t="s">
        <v>123</v>
      </c>
      <c r="T43" s="17">
        <v>380</v>
      </c>
      <c r="U43" s="7" t="s">
        <v>124</v>
      </c>
      <c r="V43" s="7"/>
      <c r="W43" s="100">
        <v>44966</v>
      </c>
      <c r="X43" s="7" t="s">
        <v>171</v>
      </c>
      <c r="Y43" s="17" t="s">
        <v>48</v>
      </c>
      <c r="Z43" s="7">
        <v>7.0000000000000007E-2</v>
      </c>
      <c r="AA43" s="99">
        <v>84866666666.666687</v>
      </c>
      <c r="AB43" s="96">
        <f t="shared" ref="AB43:AB44" si="2">AA43*0.38/I43</f>
        <v>0.17719413919413923</v>
      </c>
      <c r="AC43" s="88">
        <f t="shared" ref="AC43:AC46" si="3">LOG10(AB43)</f>
        <v>-0.75155064677029038</v>
      </c>
      <c r="AD43" s="7" t="s">
        <v>50</v>
      </c>
      <c r="AE43" s="7" t="s">
        <v>50</v>
      </c>
      <c r="AF43" s="7"/>
    </row>
    <row r="44" spans="1:32" s="34" customFormat="1">
      <c r="A44" s="7" t="s">
        <v>211</v>
      </c>
      <c r="B44" s="7" t="s">
        <v>212</v>
      </c>
      <c r="C44" s="18" t="s">
        <v>61</v>
      </c>
      <c r="D44" s="101" t="s">
        <v>207</v>
      </c>
      <c r="E44" s="7" t="s">
        <v>208</v>
      </c>
      <c r="F44" s="17" t="s">
        <v>37</v>
      </c>
      <c r="G44" s="7" t="s">
        <v>213</v>
      </c>
      <c r="H44" s="7">
        <v>48</v>
      </c>
      <c r="I44" s="99">
        <v>182000000000</v>
      </c>
      <c r="J44" s="7">
        <v>1</v>
      </c>
      <c r="K44" s="100">
        <v>44952</v>
      </c>
      <c r="L44" s="7" t="s">
        <v>39</v>
      </c>
      <c r="M44" s="17" t="s">
        <v>40</v>
      </c>
      <c r="N44" s="17" t="s">
        <v>41</v>
      </c>
      <c r="O44" s="17" t="s">
        <v>42</v>
      </c>
      <c r="P44" s="17"/>
      <c r="Q44" s="17">
        <v>0.5</v>
      </c>
      <c r="R44" s="101" t="s">
        <v>210</v>
      </c>
      <c r="S44" s="7" t="s">
        <v>123</v>
      </c>
      <c r="T44" s="17">
        <v>380</v>
      </c>
      <c r="U44" s="7" t="s">
        <v>124</v>
      </c>
      <c r="V44" s="7"/>
      <c r="W44" s="100">
        <v>44966</v>
      </c>
      <c r="X44" s="7" t="s">
        <v>214</v>
      </c>
      <c r="Y44" s="17" t="s">
        <v>48</v>
      </c>
      <c r="Z44" s="7">
        <v>0.19</v>
      </c>
      <c r="AA44" s="99">
        <v>75366666666.666687</v>
      </c>
      <c r="AB44" s="96">
        <f t="shared" si="2"/>
        <v>0.15735897435897439</v>
      </c>
      <c r="AC44" s="88">
        <f t="shared" si="3"/>
        <v>-0.80310848374256727</v>
      </c>
      <c r="AD44" s="7" t="s">
        <v>50</v>
      </c>
      <c r="AE44" s="7" t="s">
        <v>50</v>
      </c>
      <c r="AF44" s="7"/>
    </row>
    <row r="45" spans="1:32" s="34" customFormat="1">
      <c r="A45" s="7" t="s">
        <v>215</v>
      </c>
      <c r="B45" s="7" t="s">
        <v>216</v>
      </c>
      <c r="C45" s="18" t="s">
        <v>61</v>
      </c>
      <c r="D45" s="101" t="s">
        <v>207</v>
      </c>
      <c r="E45" s="7" t="s">
        <v>208</v>
      </c>
      <c r="F45" s="17" t="s">
        <v>37</v>
      </c>
      <c r="G45" s="7" t="s">
        <v>209</v>
      </c>
      <c r="H45" s="7">
        <v>48</v>
      </c>
      <c r="I45" s="99">
        <v>182000000000</v>
      </c>
      <c r="J45" s="7">
        <v>1</v>
      </c>
      <c r="K45" s="100">
        <v>44952</v>
      </c>
      <c r="L45" s="7" t="s">
        <v>63</v>
      </c>
      <c r="M45" s="17" t="s">
        <v>64</v>
      </c>
      <c r="N45" s="17" t="s">
        <v>65</v>
      </c>
      <c r="O45" s="17"/>
      <c r="P45" s="17"/>
      <c r="Q45" s="17">
        <v>0.28000000000000003</v>
      </c>
      <c r="R45" s="101" t="s">
        <v>217</v>
      </c>
      <c r="S45" s="7" t="s">
        <v>218</v>
      </c>
      <c r="T45" s="17">
        <v>380</v>
      </c>
      <c r="U45" s="17" t="s">
        <v>219</v>
      </c>
      <c r="V45" s="17"/>
      <c r="W45" s="100">
        <v>44979</v>
      </c>
      <c r="X45" s="7" t="s">
        <v>220</v>
      </c>
      <c r="Y45" s="17" t="s">
        <v>48</v>
      </c>
      <c r="Z45" s="7">
        <v>0.19</v>
      </c>
      <c r="AA45" s="99">
        <v>225466666666.66669</v>
      </c>
      <c r="AB45" s="96">
        <f>AA45*0.285/I45</f>
        <v>0.35306593406593406</v>
      </c>
      <c r="AC45" s="88">
        <f t="shared" si="3"/>
        <v>-0.4521441837705229</v>
      </c>
      <c r="AD45" s="7"/>
      <c r="AE45" s="7"/>
      <c r="AF45" s="7"/>
    </row>
    <row r="46" spans="1:32" s="34" customFormat="1">
      <c r="A46" s="7" t="s">
        <v>221</v>
      </c>
      <c r="B46" s="7" t="s">
        <v>222</v>
      </c>
      <c r="C46" s="18" t="s">
        <v>61</v>
      </c>
      <c r="D46" s="101" t="s">
        <v>207</v>
      </c>
      <c r="E46" s="7" t="s">
        <v>208</v>
      </c>
      <c r="F46" s="17" t="s">
        <v>37</v>
      </c>
      <c r="G46" s="7" t="s">
        <v>209</v>
      </c>
      <c r="H46" s="7">
        <v>48</v>
      </c>
      <c r="I46" s="99">
        <v>182000000000</v>
      </c>
      <c r="J46" s="7">
        <v>1</v>
      </c>
      <c r="K46" s="100">
        <v>44952</v>
      </c>
      <c r="L46" s="7" t="s">
        <v>54</v>
      </c>
      <c r="M46" s="17" t="s">
        <v>40</v>
      </c>
      <c r="N46" s="17" t="s">
        <v>55</v>
      </c>
      <c r="O46" s="17" t="s">
        <v>56</v>
      </c>
      <c r="P46" s="17"/>
      <c r="Q46" s="17">
        <v>0.5</v>
      </c>
      <c r="R46" s="101" t="s">
        <v>217</v>
      </c>
      <c r="S46" s="7" t="s">
        <v>218</v>
      </c>
      <c r="T46" s="17">
        <v>380</v>
      </c>
      <c r="U46" s="17" t="s">
        <v>219</v>
      </c>
      <c r="V46" s="17"/>
      <c r="W46" s="100">
        <v>44979</v>
      </c>
      <c r="X46" s="7" t="s">
        <v>220</v>
      </c>
      <c r="Y46" s="17" t="s">
        <v>48</v>
      </c>
      <c r="Z46" s="7">
        <v>0.18</v>
      </c>
      <c r="AA46" s="99">
        <v>177333333333.33337</v>
      </c>
      <c r="AB46" s="96">
        <f>AA46*0.342/I46</f>
        <v>0.33323076923076933</v>
      </c>
      <c r="AC46" s="88">
        <f t="shared" si="3"/>
        <v>-0.47725490435355389</v>
      </c>
      <c r="AD46" s="7"/>
      <c r="AE46" s="7"/>
      <c r="AF46" s="7"/>
    </row>
    <row r="47" spans="1:32" s="34" customFormat="1">
      <c r="A47" s="7" t="s">
        <v>223</v>
      </c>
      <c r="B47" s="7" t="s">
        <v>224</v>
      </c>
      <c r="C47" s="18" t="s">
        <v>61</v>
      </c>
      <c r="D47" s="101" t="s">
        <v>207</v>
      </c>
      <c r="E47" s="7" t="s">
        <v>208</v>
      </c>
      <c r="F47" s="17" t="s">
        <v>37</v>
      </c>
      <c r="G47" s="7" t="s">
        <v>213</v>
      </c>
      <c r="H47" s="7">
        <v>48</v>
      </c>
      <c r="I47" s="99">
        <v>182000000000</v>
      </c>
      <c r="J47" s="7">
        <v>1</v>
      </c>
      <c r="K47" s="100">
        <v>44952</v>
      </c>
      <c r="L47" s="7" t="s">
        <v>63</v>
      </c>
      <c r="M47" s="17" t="s">
        <v>64</v>
      </c>
      <c r="N47" s="17" t="s">
        <v>65</v>
      </c>
      <c r="O47" s="17"/>
      <c r="P47" s="17"/>
      <c r="Q47" s="17">
        <v>0.28000000000000003</v>
      </c>
      <c r="R47" s="101" t="s">
        <v>217</v>
      </c>
      <c r="S47" s="7" t="s">
        <v>218</v>
      </c>
      <c r="T47" s="17">
        <v>380</v>
      </c>
      <c r="U47" s="17" t="s">
        <v>219</v>
      </c>
      <c r="V47" s="17"/>
      <c r="W47" s="100">
        <v>44979</v>
      </c>
      <c r="X47" s="7" t="s">
        <v>225</v>
      </c>
      <c r="Y47" s="17" t="s">
        <v>48</v>
      </c>
      <c r="Z47" s="7">
        <v>0.43</v>
      </c>
      <c r="AA47" s="99">
        <v>129833333333.33336</v>
      </c>
      <c r="AB47" s="96">
        <f>AA47*0.285/I47</f>
        <v>0.20331043956043959</v>
      </c>
      <c r="AC47" s="88">
        <f t="shared" ref="AC47:AC48" si="4">LOG10(AB47)</f>
        <v>-0.69184032068764367</v>
      </c>
      <c r="AD47" s="7"/>
      <c r="AE47" s="7"/>
      <c r="AF47" s="7"/>
    </row>
    <row r="48" spans="1:32" s="34" customFormat="1">
      <c r="A48" s="7" t="s">
        <v>226</v>
      </c>
      <c r="B48" s="7" t="s">
        <v>227</v>
      </c>
      <c r="C48" s="18" t="s">
        <v>61</v>
      </c>
      <c r="D48" s="101" t="s">
        <v>207</v>
      </c>
      <c r="E48" s="7" t="s">
        <v>208</v>
      </c>
      <c r="F48" s="17" t="s">
        <v>37</v>
      </c>
      <c r="G48" s="7" t="s">
        <v>213</v>
      </c>
      <c r="H48" s="7">
        <v>48</v>
      </c>
      <c r="I48" s="99">
        <v>182000000000</v>
      </c>
      <c r="J48" s="7">
        <v>1</v>
      </c>
      <c r="K48" s="100">
        <v>44952</v>
      </c>
      <c r="L48" s="7" t="s">
        <v>54</v>
      </c>
      <c r="M48" s="17" t="s">
        <v>40</v>
      </c>
      <c r="N48" s="17" t="s">
        <v>55</v>
      </c>
      <c r="O48" s="17" t="s">
        <v>56</v>
      </c>
      <c r="P48" s="17"/>
      <c r="Q48" s="17">
        <v>0.5</v>
      </c>
      <c r="R48" s="101" t="s">
        <v>217</v>
      </c>
      <c r="S48" s="7" t="s">
        <v>218</v>
      </c>
      <c r="T48" s="17">
        <v>380</v>
      </c>
      <c r="U48" s="17" t="s">
        <v>219</v>
      </c>
      <c r="V48" s="17"/>
      <c r="W48" s="100">
        <v>44979</v>
      </c>
      <c r="X48" s="7" t="s">
        <v>228</v>
      </c>
      <c r="Y48" s="17" t="s">
        <v>48</v>
      </c>
      <c r="Z48" s="7">
        <v>0.38</v>
      </c>
      <c r="AA48" s="99">
        <v>122233333333.33336</v>
      </c>
      <c r="AB48" s="96">
        <f>AA48*0.342/I48</f>
        <v>0.22969120879120888</v>
      </c>
      <c r="AC48" s="88">
        <f t="shared" si="4"/>
        <v>-0.63885562668799933</v>
      </c>
      <c r="AD48" s="7"/>
      <c r="AE48" s="7"/>
      <c r="AF48" s="7"/>
    </row>
    <row r="49" spans="1:29">
      <c r="A49" s="2" t="s">
        <v>229</v>
      </c>
      <c r="B49" s="2" t="s">
        <v>230</v>
      </c>
      <c r="C49" s="18" t="s">
        <v>61</v>
      </c>
      <c r="E49" s="7" t="s">
        <v>231</v>
      </c>
      <c r="F49" s="7" t="s">
        <v>178</v>
      </c>
      <c r="G49" s="2" t="s">
        <v>179</v>
      </c>
      <c r="K49" s="100">
        <v>44923</v>
      </c>
      <c r="L49" s="7" t="s">
        <v>63</v>
      </c>
      <c r="M49" s="17" t="s">
        <v>64</v>
      </c>
      <c r="N49" s="17" t="s">
        <v>65</v>
      </c>
      <c r="Q49" s="17">
        <v>0.28000000000000003</v>
      </c>
      <c r="R49" s="100">
        <v>44939</v>
      </c>
      <c r="S49" s="2" t="s">
        <v>123</v>
      </c>
      <c r="T49" s="2">
        <v>380</v>
      </c>
      <c r="U49" s="2" t="s">
        <v>124</v>
      </c>
      <c r="W49" s="100">
        <v>44974</v>
      </c>
      <c r="X49" s="2" t="s">
        <v>232</v>
      </c>
      <c r="Y49" s="17" t="s">
        <v>48</v>
      </c>
      <c r="Z49" s="7">
        <v>0.09</v>
      </c>
      <c r="AA49" s="99">
        <v>75366666666.666687</v>
      </c>
    </row>
    <row r="50" spans="1:29">
      <c r="A50" s="2" t="s">
        <v>233</v>
      </c>
      <c r="B50" s="2" t="s">
        <v>234</v>
      </c>
      <c r="C50" s="18" t="s">
        <v>35</v>
      </c>
      <c r="E50" s="7" t="s">
        <v>231</v>
      </c>
      <c r="F50" s="7" t="s">
        <v>178</v>
      </c>
      <c r="G50" s="2" t="s">
        <v>185</v>
      </c>
      <c r="K50" s="100">
        <v>44907</v>
      </c>
      <c r="L50" s="7" t="s">
        <v>63</v>
      </c>
      <c r="M50" s="17" t="s">
        <v>64</v>
      </c>
      <c r="N50" s="17" t="s">
        <v>65</v>
      </c>
      <c r="Q50" s="17">
        <v>0.28000000000000003</v>
      </c>
      <c r="R50" s="100">
        <v>44957</v>
      </c>
      <c r="S50" s="2" t="s">
        <v>235</v>
      </c>
      <c r="T50" s="2">
        <v>380</v>
      </c>
      <c r="U50" s="2" t="s">
        <v>236</v>
      </c>
      <c r="W50" s="100">
        <v>44974</v>
      </c>
      <c r="X50" s="2" t="s">
        <v>237</v>
      </c>
      <c r="Y50" s="17" t="s">
        <v>48</v>
      </c>
      <c r="Z50" s="7">
        <v>0.08</v>
      </c>
      <c r="AA50" s="99">
        <v>122233333333.33336</v>
      </c>
    </row>
    <row r="51" spans="1:29">
      <c r="A51" s="2" t="s">
        <v>238</v>
      </c>
      <c r="B51" s="2" t="s">
        <v>239</v>
      </c>
      <c r="C51" s="18" t="s">
        <v>61</v>
      </c>
      <c r="E51" s="7" t="s">
        <v>231</v>
      </c>
      <c r="F51" s="7" t="s">
        <v>178</v>
      </c>
      <c r="G51" s="2" t="s">
        <v>179</v>
      </c>
      <c r="K51" s="100">
        <v>44923</v>
      </c>
      <c r="L51" s="7" t="s">
        <v>63</v>
      </c>
      <c r="M51" s="17" t="s">
        <v>64</v>
      </c>
      <c r="N51" s="17" t="s">
        <v>65</v>
      </c>
      <c r="Q51" s="17">
        <v>0.28000000000000003</v>
      </c>
      <c r="R51" s="100">
        <v>44957</v>
      </c>
      <c r="S51" s="2" t="s">
        <v>235</v>
      </c>
      <c r="T51" s="2">
        <v>380</v>
      </c>
      <c r="U51" s="2" t="s">
        <v>236</v>
      </c>
      <c r="W51" s="100">
        <v>44974</v>
      </c>
      <c r="X51" s="2" t="s">
        <v>237</v>
      </c>
      <c r="Y51" s="17" t="s">
        <v>48</v>
      </c>
      <c r="Z51" s="7">
        <v>0.13</v>
      </c>
      <c r="AA51" s="99">
        <v>131100000000</v>
      </c>
    </row>
    <row r="52" spans="1:29">
      <c r="A52" s="2" t="s">
        <v>240</v>
      </c>
      <c r="B52" s="2" t="s">
        <v>241</v>
      </c>
      <c r="C52" s="18" t="s">
        <v>61</v>
      </c>
      <c r="E52" s="7" t="s">
        <v>231</v>
      </c>
      <c r="F52" s="7" t="s">
        <v>178</v>
      </c>
      <c r="G52" s="2" t="s">
        <v>179</v>
      </c>
      <c r="K52" s="100">
        <v>44923</v>
      </c>
      <c r="L52" s="7" t="s">
        <v>63</v>
      </c>
      <c r="M52" s="17" t="s">
        <v>64</v>
      </c>
      <c r="N52" s="17" t="s">
        <v>65</v>
      </c>
      <c r="Q52" s="17">
        <v>0.28000000000000003</v>
      </c>
      <c r="R52" s="100">
        <v>44964</v>
      </c>
      <c r="S52" s="2" t="s">
        <v>123</v>
      </c>
      <c r="T52" s="2">
        <v>380</v>
      </c>
      <c r="U52" s="2" t="s">
        <v>242</v>
      </c>
      <c r="W52" s="100">
        <v>44974</v>
      </c>
      <c r="X52" s="2" t="s">
        <v>243</v>
      </c>
      <c r="Y52" s="17" t="s">
        <v>48</v>
      </c>
      <c r="Z52" s="7">
        <v>7.0000000000000007E-2</v>
      </c>
      <c r="AA52" s="99">
        <v>131733333333.33336</v>
      </c>
    </row>
    <row r="53" spans="1:29">
      <c r="A53" s="2" t="s">
        <v>244</v>
      </c>
      <c r="B53" s="2" t="s">
        <v>245</v>
      </c>
      <c r="C53" s="18" t="s">
        <v>35</v>
      </c>
      <c r="E53" s="7" t="s">
        <v>231</v>
      </c>
      <c r="F53" s="7" t="s">
        <v>178</v>
      </c>
      <c r="G53" s="2" t="s">
        <v>185</v>
      </c>
      <c r="K53" s="100">
        <v>44907</v>
      </c>
      <c r="L53" s="7" t="s">
        <v>63</v>
      </c>
      <c r="M53" s="17" t="s">
        <v>64</v>
      </c>
      <c r="N53" s="17" t="s">
        <v>65</v>
      </c>
      <c r="Q53" s="17">
        <v>0.28000000000000003</v>
      </c>
      <c r="R53" s="100">
        <v>44964</v>
      </c>
      <c r="S53" s="2" t="s">
        <v>180</v>
      </c>
      <c r="T53" s="5" t="s">
        <v>181</v>
      </c>
      <c r="U53" s="2" t="s">
        <v>124</v>
      </c>
      <c r="W53" s="100">
        <v>44974</v>
      </c>
      <c r="X53" s="2" t="s">
        <v>246</v>
      </c>
      <c r="Y53" s="17" t="s">
        <v>48</v>
      </c>
      <c r="Z53" s="7">
        <v>0.1</v>
      </c>
      <c r="AA53" s="99">
        <v>176700000000</v>
      </c>
    </row>
    <row r="54" spans="1:29">
      <c r="A54" s="2" t="s">
        <v>247</v>
      </c>
      <c r="B54" s="2" t="s">
        <v>248</v>
      </c>
      <c r="C54" s="18" t="s">
        <v>61</v>
      </c>
      <c r="E54" s="7" t="s">
        <v>231</v>
      </c>
      <c r="F54" s="7" t="s">
        <v>178</v>
      </c>
      <c r="G54" s="2" t="s">
        <v>179</v>
      </c>
      <c r="K54" s="100">
        <v>44923</v>
      </c>
      <c r="L54" s="7" t="s">
        <v>63</v>
      </c>
      <c r="M54" s="17" t="s">
        <v>64</v>
      </c>
      <c r="N54" s="17" t="s">
        <v>65</v>
      </c>
      <c r="Q54" s="17">
        <v>0.28000000000000003</v>
      </c>
      <c r="R54" s="100">
        <v>44967</v>
      </c>
      <c r="S54" s="2" t="s">
        <v>249</v>
      </c>
      <c r="T54" s="2">
        <v>380</v>
      </c>
      <c r="U54" s="2" t="s">
        <v>250</v>
      </c>
      <c r="W54" s="100">
        <v>44974</v>
      </c>
      <c r="X54" s="2" t="s">
        <v>251</v>
      </c>
      <c r="Y54" s="17" t="s">
        <v>48</v>
      </c>
      <c r="Z54" s="7">
        <v>0.28000000000000003</v>
      </c>
      <c r="AA54" s="99">
        <v>152633333333.33337</v>
      </c>
    </row>
    <row r="55" spans="1:29">
      <c r="A55" s="2" t="s">
        <v>252</v>
      </c>
      <c r="B55" s="2" t="s">
        <v>253</v>
      </c>
      <c r="C55" s="18" t="s">
        <v>35</v>
      </c>
      <c r="E55" s="7" t="s">
        <v>231</v>
      </c>
      <c r="F55" s="7" t="s">
        <v>178</v>
      </c>
      <c r="G55" s="2" t="s">
        <v>185</v>
      </c>
      <c r="K55" s="100">
        <v>44907</v>
      </c>
      <c r="L55" s="7" t="s">
        <v>63</v>
      </c>
      <c r="M55" s="17" t="s">
        <v>64</v>
      </c>
      <c r="N55" s="17" t="s">
        <v>65</v>
      </c>
      <c r="Q55" s="17">
        <v>0.28000000000000003</v>
      </c>
      <c r="R55" s="100">
        <v>44967</v>
      </c>
      <c r="S55" s="2" t="s">
        <v>249</v>
      </c>
      <c r="T55" s="2">
        <v>380</v>
      </c>
      <c r="U55" s="2" t="s">
        <v>254</v>
      </c>
      <c r="W55" s="100">
        <v>44974</v>
      </c>
      <c r="X55" s="2" t="s">
        <v>255</v>
      </c>
      <c r="Y55" s="17" t="s">
        <v>48</v>
      </c>
      <c r="Z55" s="7">
        <v>0.18</v>
      </c>
      <c r="AA55" s="99">
        <v>157066666666.66669</v>
      </c>
    </row>
    <row r="56" spans="1:29">
      <c r="A56" s="2" t="s">
        <v>256</v>
      </c>
      <c r="B56" s="2" t="s">
        <v>257</v>
      </c>
      <c r="C56" s="18" t="s">
        <v>61</v>
      </c>
      <c r="E56" s="7" t="s">
        <v>231</v>
      </c>
      <c r="F56" s="7" t="s">
        <v>178</v>
      </c>
      <c r="G56" s="2" t="s">
        <v>179</v>
      </c>
      <c r="K56" s="100">
        <v>44923</v>
      </c>
      <c r="L56" s="7" t="s">
        <v>63</v>
      </c>
      <c r="M56" s="17" t="s">
        <v>64</v>
      </c>
      <c r="N56" s="17" t="s">
        <v>65</v>
      </c>
      <c r="Q56" s="17">
        <v>0.28000000000000003</v>
      </c>
      <c r="R56" s="100">
        <v>44967</v>
      </c>
      <c r="S56" s="2" t="s">
        <v>235</v>
      </c>
      <c r="T56" s="2">
        <v>380</v>
      </c>
      <c r="U56" s="2" t="s">
        <v>250</v>
      </c>
      <c r="W56" s="100">
        <v>44974</v>
      </c>
      <c r="X56" s="2" t="s">
        <v>258</v>
      </c>
      <c r="Y56" s="17" t="s">
        <v>48</v>
      </c>
      <c r="Z56" s="7">
        <v>0.38</v>
      </c>
      <c r="AA56" s="99">
        <v>89933333333.333344</v>
      </c>
    </row>
    <row r="57" spans="1:29">
      <c r="A57" s="2" t="s">
        <v>259</v>
      </c>
      <c r="B57" s="2" t="s">
        <v>260</v>
      </c>
      <c r="C57" s="18" t="s">
        <v>35</v>
      </c>
      <c r="D57" s="4" t="s">
        <v>261</v>
      </c>
      <c r="E57" s="2" t="s">
        <v>262</v>
      </c>
      <c r="F57" s="2" t="s">
        <v>37</v>
      </c>
      <c r="G57" s="2" t="s">
        <v>263</v>
      </c>
      <c r="H57" s="2">
        <v>48</v>
      </c>
      <c r="I57" s="7">
        <v>372000000000</v>
      </c>
      <c r="J57" s="2">
        <v>0</v>
      </c>
      <c r="K57" s="106">
        <v>44847</v>
      </c>
      <c r="L57" s="2" t="s">
        <v>39</v>
      </c>
      <c r="M57" s="17" t="s">
        <v>40</v>
      </c>
      <c r="N57" s="17" t="s">
        <v>41</v>
      </c>
      <c r="O57" s="17" t="s">
        <v>42</v>
      </c>
      <c r="P57" s="17"/>
      <c r="Q57" s="17">
        <v>0.5</v>
      </c>
      <c r="R57" s="101" t="s">
        <v>264</v>
      </c>
      <c r="S57" s="7" t="s">
        <v>265</v>
      </c>
      <c r="T57" s="17">
        <v>380</v>
      </c>
      <c r="U57" s="7" t="s">
        <v>124</v>
      </c>
      <c r="V57" s="7"/>
      <c r="W57" s="100">
        <v>44988</v>
      </c>
      <c r="X57" s="7" t="s">
        <v>266</v>
      </c>
      <c r="Y57" s="17" t="s">
        <v>48</v>
      </c>
      <c r="Z57" s="7" t="s">
        <v>267</v>
      </c>
      <c r="AA57" s="99">
        <v>513000000000</v>
      </c>
      <c r="AB57" s="96">
        <f t="shared" ref="AB57" si="5">AA57*0.38/I57</f>
        <v>0.52403225806451614</v>
      </c>
      <c r="AC57" s="88">
        <f t="shared" ref="AC57" si="6">LOG10(AB57)</f>
        <v>-0.28064197815327108</v>
      </c>
    </row>
    <row r="58" spans="1:29">
      <c r="A58" s="2" t="s">
        <v>268</v>
      </c>
      <c r="B58" s="2" t="s">
        <v>269</v>
      </c>
      <c r="C58" s="18" t="s">
        <v>61</v>
      </c>
      <c r="D58" s="4" t="s">
        <v>103</v>
      </c>
      <c r="E58" s="2" t="s">
        <v>270</v>
      </c>
      <c r="F58" s="2" t="s">
        <v>37</v>
      </c>
      <c r="G58" s="2" t="s">
        <v>263</v>
      </c>
      <c r="H58" s="2">
        <v>48</v>
      </c>
      <c r="I58" s="7">
        <v>150000000000</v>
      </c>
      <c r="J58" s="2">
        <v>0</v>
      </c>
      <c r="K58" s="106">
        <v>44867</v>
      </c>
      <c r="L58" s="2" t="s">
        <v>39</v>
      </c>
      <c r="M58" s="17" t="s">
        <v>40</v>
      </c>
      <c r="N58" s="17" t="s">
        <v>41</v>
      </c>
      <c r="O58" s="17" t="s">
        <v>42</v>
      </c>
      <c r="R58" s="101" t="s">
        <v>264</v>
      </c>
      <c r="S58" s="2" t="s">
        <v>265</v>
      </c>
      <c r="T58" s="2">
        <v>110</v>
      </c>
      <c r="U58" s="2" t="s">
        <v>124</v>
      </c>
      <c r="W58" s="100">
        <v>44988</v>
      </c>
      <c r="X58" s="2" t="s">
        <v>271</v>
      </c>
      <c r="Y58" s="17" t="s">
        <v>48</v>
      </c>
      <c r="Z58" s="7" t="s">
        <v>267</v>
      </c>
      <c r="AA58" s="99">
        <v>11800000000</v>
      </c>
      <c r="AB58" s="96">
        <f t="shared" ref="AB58" si="7">AA58*0.38/I58</f>
        <v>2.9893333333333334E-2</v>
      </c>
      <c r="AC58" s="88">
        <f t="shared" ref="AC58" si="8">LOG10(AB58)</f>
        <v>-1.5244256551327457</v>
      </c>
    </row>
    <row r="59" spans="1:29">
      <c r="A59" s="2" t="s">
        <v>272</v>
      </c>
      <c r="B59" s="2" t="s">
        <v>273</v>
      </c>
      <c r="C59" s="18" t="s">
        <v>61</v>
      </c>
      <c r="D59" s="4" t="s">
        <v>103</v>
      </c>
      <c r="E59" s="2" t="s">
        <v>274</v>
      </c>
      <c r="F59" s="2" t="s">
        <v>37</v>
      </c>
      <c r="G59" s="2" t="s">
        <v>275</v>
      </c>
      <c r="H59" s="2">
        <v>48</v>
      </c>
      <c r="I59" s="7">
        <v>136000000000</v>
      </c>
      <c r="J59" s="2">
        <v>0</v>
      </c>
      <c r="K59" s="106">
        <v>44867</v>
      </c>
      <c r="L59" s="2" t="s">
        <v>39</v>
      </c>
      <c r="M59" s="17" t="s">
        <v>40</v>
      </c>
      <c r="N59" s="17" t="s">
        <v>41</v>
      </c>
      <c r="O59" s="17" t="s">
        <v>42</v>
      </c>
      <c r="R59" s="4" t="s">
        <v>276</v>
      </c>
      <c r="S59" s="2" t="s">
        <v>277</v>
      </c>
      <c r="T59" s="2">
        <v>580</v>
      </c>
      <c r="U59" s="2" t="s">
        <v>278</v>
      </c>
      <c r="W59" s="100">
        <v>44993</v>
      </c>
      <c r="X59" s="2" t="s">
        <v>279</v>
      </c>
      <c r="Y59" s="17" t="s">
        <v>48</v>
      </c>
      <c r="Z59" s="7">
        <v>0.26</v>
      </c>
      <c r="AA59" s="99">
        <v>132366666666.66667</v>
      </c>
      <c r="AB59" s="96">
        <f t="shared" ref="AB59" si="9">AA59*0.38/I59</f>
        <v>0.36984803921568632</v>
      </c>
      <c r="AC59" s="88">
        <f t="shared" ref="AC59" si="10">LOG10(AB59)</f>
        <v>-0.43197667940918677</v>
      </c>
    </row>
    <row r="60" spans="1:29">
      <c r="A60" s="2" t="s">
        <v>280</v>
      </c>
      <c r="B60" s="2" t="s">
        <v>281</v>
      </c>
      <c r="C60" s="18" t="s">
        <v>35</v>
      </c>
      <c r="E60" s="7" t="s">
        <v>231</v>
      </c>
      <c r="G60" s="2" t="s">
        <v>263</v>
      </c>
      <c r="L60" s="2" t="s">
        <v>63</v>
      </c>
      <c r="M60" s="17" t="s">
        <v>64</v>
      </c>
      <c r="N60" s="17" t="s">
        <v>65</v>
      </c>
      <c r="Q60" s="17">
        <v>0.28000000000000003</v>
      </c>
      <c r="R60" s="4" t="s">
        <v>282</v>
      </c>
      <c r="S60" s="2" t="s">
        <v>249</v>
      </c>
      <c r="T60" s="2">
        <v>380</v>
      </c>
      <c r="U60" s="2" t="s">
        <v>124</v>
      </c>
      <c r="W60" s="100">
        <v>44993</v>
      </c>
      <c r="X60" s="2" t="s">
        <v>283</v>
      </c>
      <c r="Y60" s="17" t="s">
        <v>48</v>
      </c>
      <c r="Z60" s="7">
        <v>0.04</v>
      </c>
      <c r="AA60" s="99">
        <v>146933333333.33337</v>
      </c>
      <c r="AB60" s="105"/>
    </row>
    <row r="61" spans="1:29">
      <c r="A61" s="2" t="s">
        <v>284</v>
      </c>
      <c r="B61" s="2" t="s">
        <v>285</v>
      </c>
      <c r="C61" s="18" t="s">
        <v>61</v>
      </c>
      <c r="E61" s="7" t="s">
        <v>231</v>
      </c>
      <c r="G61" s="2" t="s">
        <v>263</v>
      </c>
      <c r="L61" s="2" t="s">
        <v>63</v>
      </c>
      <c r="M61" s="17" t="s">
        <v>64</v>
      </c>
      <c r="N61" s="17" t="s">
        <v>65</v>
      </c>
      <c r="Q61" s="17">
        <v>0.28000000000000003</v>
      </c>
      <c r="R61" s="4" t="s">
        <v>282</v>
      </c>
      <c r="S61" s="2" t="s">
        <v>249</v>
      </c>
      <c r="T61" s="2">
        <v>380</v>
      </c>
      <c r="U61" s="2" t="s">
        <v>124</v>
      </c>
      <c r="W61" s="100">
        <v>44993</v>
      </c>
      <c r="X61" s="2" t="s">
        <v>286</v>
      </c>
      <c r="Y61" s="17" t="s">
        <v>48</v>
      </c>
      <c r="Z61" s="7">
        <v>0.08</v>
      </c>
      <c r="AA61" s="99">
        <v>124766666666.66667</v>
      </c>
      <c r="AB61" s="105"/>
    </row>
    <row r="62" spans="1:29">
      <c r="A62" s="2" t="s">
        <v>287</v>
      </c>
      <c r="B62" s="2" t="s">
        <v>288</v>
      </c>
      <c r="C62" s="18" t="s">
        <v>35</v>
      </c>
      <c r="E62" s="7" t="s">
        <v>231</v>
      </c>
      <c r="G62" s="2" t="s">
        <v>263</v>
      </c>
      <c r="L62" s="2" t="s">
        <v>63</v>
      </c>
      <c r="M62" s="17" t="s">
        <v>64</v>
      </c>
      <c r="N62" s="17" t="s">
        <v>65</v>
      </c>
      <c r="Q62" s="17">
        <v>0.28000000000000003</v>
      </c>
      <c r="R62" s="4" t="s">
        <v>276</v>
      </c>
      <c r="S62" s="2" t="s">
        <v>277</v>
      </c>
      <c r="T62" s="2">
        <v>580</v>
      </c>
      <c r="U62" s="2" t="s">
        <v>278</v>
      </c>
      <c r="W62" s="100">
        <v>44993</v>
      </c>
      <c r="X62" s="2" t="s">
        <v>289</v>
      </c>
      <c r="Y62" s="17" t="s">
        <v>48</v>
      </c>
      <c r="Z62" s="7">
        <v>0.13</v>
      </c>
      <c r="AA62" s="99">
        <v>399000000000</v>
      </c>
      <c r="AB62" s="105"/>
    </row>
    <row r="63" spans="1:29">
      <c r="A63" s="2" t="s">
        <v>290</v>
      </c>
      <c r="B63" s="2" t="s">
        <v>291</v>
      </c>
      <c r="C63" s="18" t="s">
        <v>35</v>
      </c>
      <c r="E63" s="7" t="s">
        <v>231</v>
      </c>
      <c r="G63" s="2" t="s">
        <v>263</v>
      </c>
      <c r="L63" s="2" t="s">
        <v>63</v>
      </c>
      <c r="M63" s="17" t="s">
        <v>64</v>
      </c>
      <c r="N63" s="17" t="s">
        <v>65</v>
      </c>
      <c r="Q63" s="17">
        <v>0.28000000000000003</v>
      </c>
      <c r="R63" s="4" t="s">
        <v>292</v>
      </c>
      <c r="S63" s="2" t="s">
        <v>293</v>
      </c>
      <c r="T63" s="2">
        <v>580</v>
      </c>
      <c r="U63" s="2" t="s">
        <v>294</v>
      </c>
      <c r="W63" s="100">
        <v>44993</v>
      </c>
      <c r="X63" s="2" t="s">
        <v>295</v>
      </c>
      <c r="Y63" s="17" t="s">
        <v>48</v>
      </c>
      <c r="Z63" s="7">
        <v>0.32</v>
      </c>
      <c r="AA63" s="99">
        <v>373666666666.66675</v>
      </c>
      <c r="AB63" s="105"/>
    </row>
    <row r="64" spans="1:29">
      <c r="A64" s="2" t="s">
        <v>296</v>
      </c>
      <c r="B64" s="2" t="s">
        <v>297</v>
      </c>
      <c r="C64" s="18" t="s">
        <v>61</v>
      </c>
      <c r="E64" s="7" t="s">
        <v>231</v>
      </c>
      <c r="G64" s="2" t="s">
        <v>263</v>
      </c>
      <c r="K64" s="106">
        <v>44923</v>
      </c>
      <c r="L64" s="2" t="s">
        <v>63</v>
      </c>
      <c r="M64" s="17" t="s">
        <v>64</v>
      </c>
      <c r="N64" s="17" t="s">
        <v>65</v>
      </c>
      <c r="Q64" s="17">
        <v>0.28000000000000003</v>
      </c>
      <c r="R64" s="4" t="s">
        <v>298</v>
      </c>
      <c r="S64" s="2" t="s">
        <v>218</v>
      </c>
      <c r="T64" s="2">
        <v>380</v>
      </c>
      <c r="U64" s="2" t="s">
        <v>299</v>
      </c>
      <c r="V64" s="2">
        <v>0.05</v>
      </c>
      <c r="W64" s="100">
        <v>45015</v>
      </c>
      <c r="X64" s="2" t="s">
        <v>255</v>
      </c>
      <c r="Y64" s="17" t="s">
        <v>48</v>
      </c>
      <c r="Z64" s="7">
        <v>0.24</v>
      </c>
      <c r="AA64" s="99">
        <v>301466666666.66669</v>
      </c>
      <c r="AB64" s="96" t="e">
        <f>AA64*0.285/I64</f>
        <v>#DIV/0!</v>
      </c>
      <c r="AC64" s="88" t="e">
        <f t="shared" ref="AC64" si="11">LOG10(AB64)</f>
        <v>#DIV/0!</v>
      </c>
    </row>
    <row r="65" spans="1:29">
      <c r="A65" s="2" t="s">
        <v>300</v>
      </c>
      <c r="B65" s="2" t="s">
        <v>301</v>
      </c>
      <c r="C65" s="18" t="s">
        <v>61</v>
      </c>
      <c r="D65" s="4" t="s">
        <v>264</v>
      </c>
      <c r="E65" s="2" t="s">
        <v>302</v>
      </c>
      <c r="F65" s="2" t="s">
        <v>37</v>
      </c>
      <c r="G65" s="2" t="s">
        <v>303</v>
      </c>
      <c r="H65" s="2">
        <v>48</v>
      </c>
      <c r="I65" s="99">
        <v>183000000000</v>
      </c>
      <c r="J65" s="2">
        <v>3</v>
      </c>
      <c r="K65" s="106">
        <v>44984</v>
      </c>
      <c r="L65" s="2" t="s">
        <v>63</v>
      </c>
      <c r="M65" s="17" t="s">
        <v>64</v>
      </c>
      <c r="N65" s="17" t="s">
        <v>65</v>
      </c>
      <c r="Q65" s="17">
        <v>0.28000000000000003</v>
      </c>
      <c r="R65" s="4" t="s">
        <v>298</v>
      </c>
      <c r="S65" s="2" t="s">
        <v>218</v>
      </c>
      <c r="T65" s="2">
        <v>380</v>
      </c>
      <c r="U65" s="2" t="s">
        <v>299</v>
      </c>
      <c r="V65" s="2">
        <v>0.05</v>
      </c>
      <c r="W65" s="100">
        <v>45015</v>
      </c>
      <c r="X65" s="2" t="s">
        <v>304</v>
      </c>
      <c r="Y65" s="17" t="s">
        <v>48</v>
      </c>
      <c r="Z65" s="7">
        <v>0.12</v>
      </c>
      <c r="AA65" s="99">
        <v>164666666666.66669</v>
      </c>
      <c r="AB65" s="96">
        <f t="shared" ref="AB65:AB67" si="12">AA65*0.285/I65</f>
        <v>0.25644808743169401</v>
      </c>
      <c r="AC65" s="88">
        <f t="shared" ref="AC65:AC67" si="13">LOG10(AB65)</f>
        <v>-0.59100053551793474</v>
      </c>
    </row>
    <row r="66" spans="1:29">
      <c r="A66" s="2" t="s">
        <v>305</v>
      </c>
      <c r="B66" s="2" t="s">
        <v>306</v>
      </c>
      <c r="C66" s="18" t="s">
        <v>61</v>
      </c>
      <c r="D66" s="4" t="s">
        <v>264</v>
      </c>
      <c r="E66" s="2" t="s">
        <v>307</v>
      </c>
      <c r="F66" s="2" t="s">
        <v>37</v>
      </c>
      <c r="G66" s="2" t="s">
        <v>308</v>
      </c>
      <c r="H66" s="2">
        <v>48</v>
      </c>
      <c r="I66" s="99">
        <v>196000000000</v>
      </c>
      <c r="J66" s="2">
        <v>3</v>
      </c>
      <c r="K66" s="106">
        <v>44984</v>
      </c>
      <c r="L66" s="2" t="s">
        <v>63</v>
      </c>
      <c r="M66" s="17" t="s">
        <v>64</v>
      </c>
      <c r="N66" s="17" t="s">
        <v>65</v>
      </c>
      <c r="Q66" s="17">
        <v>0.28000000000000003</v>
      </c>
      <c r="R66" s="4" t="s">
        <v>298</v>
      </c>
      <c r="S66" s="2" t="s">
        <v>218</v>
      </c>
      <c r="T66" s="2">
        <v>380</v>
      </c>
      <c r="U66" s="2" t="s">
        <v>299</v>
      </c>
      <c r="V66" s="2">
        <v>0.05</v>
      </c>
      <c r="W66" s="100">
        <v>45015</v>
      </c>
      <c r="X66" s="2" t="s">
        <v>304</v>
      </c>
      <c r="Y66" s="17" t="s">
        <v>48</v>
      </c>
      <c r="Z66" s="7">
        <v>0.12</v>
      </c>
      <c r="AA66" s="99">
        <v>235599999999.99997</v>
      </c>
      <c r="AB66" s="96">
        <f t="shared" si="12"/>
        <v>0.34258163265306113</v>
      </c>
      <c r="AC66" s="88">
        <f t="shared" si="13"/>
        <v>-0.46523592523290191</v>
      </c>
    </row>
    <row r="67" spans="1:29">
      <c r="A67" s="2" t="s">
        <v>309</v>
      </c>
      <c r="B67" s="2" t="s">
        <v>310</v>
      </c>
      <c r="C67" s="18" t="s">
        <v>61</v>
      </c>
      <c r="D67" s="4" t="s">
        <v>264</v>
      </c>
      <c r="E67" s="2" t="s">
        <v>311</v>
      </c>
      <c r="F67" s="2" t="s">
        <v>37</v>
      </c>
      <c r="G67" s="2" t="s">
        <v>312</v>
      </c>
      <c r="H67" s="2">
        <v>48</v>
      </c>
      <c r="I67" s="107">
        <f>196000000000/0.75</f>
        <v>261333333333.33334</v>
      </c>
      <c r="J67" s="2">
        <v>3</v>
      </c>
      <c r="K67" s="106">
        <v>44984</v>
      </c>
      <c r="L67" s="2" t="s">
        <v>63</v>
      </c>
      <c r="M67" s="17" t="s">
        <v>64</v>
      </c>
      <c r="N67" s="17" t="s">
        <v>65</v>
      </c>
      <c r="Q67" s="17">
        <v>0.28000000000000003</v>
      </c>
      <c r="R67" s="4" t="s">
        <v>298</v>
      </c>
      <c r="S67" s="2" t="s">
        <v>218</v>
      </c>
      <c r="T67" s="2">
        <v>380</v>
      </c>
      <c r="U67" s="2" t="s">
        <v>299</v>
      </c>
      <c r="V67" s="2">
        <v>0.05</v>
      </c>
      <c r="W67" s="100">
        <v>45015</v>
      </c>
      <c r="X67" s="2" t="s">
        <v>313</v>
      </c>
      <c r="Y67" s="17" t="s">
        <v>48</v>
      </c>
      <c r="Z67" s="7">
        <v>0.09</v>
      </c>
      <c r="AA67" s="99">
        <v>262200000000</v>
      </c>
      <c r="AB67" s="96">
        <f t="shared" si="12"/>
        <v>0.28594515306122448</v>
      </c>
      <c r="AC67" s="88">
        <f t="shared" si="13"/>
        <v>-0.54371726060220038</v>
      </c>
    </row>
    <row r="68" spans="1:29">
      <c r="A68" s="2" t="s">
        <v>309</v>
      </c>
      <c r="B68" s="2" t="s">
        <v>314</v>
      </c>
      <c r="C68" s="18" t="s">
        <v>61</v>
      </c>
      <c r="D68" s="4" t="s">
        <v>264</v>
      </c>
      <c r="E68" s="2" t="s">
        <v>311</v>
      </c>
      <c r="F68" s="2" t="s">
        <v>37</v>
      </c>
      <c r="G68" s="2" t="s">
        <v>312</v>
      </c>
      <c r="H68" s="2">
        <v>48</v>
      </c>
      <c r="I68" s="107">
        <f>196000000000/0.75</f>
        <v>261333333333.33334</v>
      </c>
      <c r="J68" s="2">
        <v>3</v>
      </c>
      <c r="K68" s="106">
        <v>44984</v>
      </c>
      <c r="L68" s="2" t="s">
        <v>63</v>
      </c>
      <c r="M68" s="17" t="s">
        <v>64</v>
      </c>
      <c r="N68" s="17" t="s">
        <v>65</v>
      </c>
      <c r="Q68" s="17">
        <v>0.28000000000000003</v>
      </c>
      <c r="R68" s="4" t="s">
        <v>315</v>
      </c>
      <c r="S68" s="2" t="s">
        <v>316</v>
      </c>
      <c r="T68" s="2">
        <v>990</v>
      </c>
      <c r="U68" s="2" t="s">
        <v>317</v>
      </c>
      <c r="V68" s="2">
        <v>0.05</v>
      </c>
      <c r="W68" s="100">
        <v>45016</v>
      </c>
      <c r="X68" s="2" t="s">
        <v>286</v>
      </c>
      <c r="Y68" s="17" t="s">
        <v>48</v>
      </c>
      <c r="Z68" s="7">
        <v>0.35</v>
      </c>
      <c r="AA68" s="99">
        <v>326800000000</v>
      </c>
      <c r="AB68" s="96">
        <f t="shared" ref="AB68:AB71" si="14">AA68*0.285/I68</f>
        <v>0.35639540816326526</v>
      </c>
      <c r="AC68" s="88">
        <f t="shared" ref="AC68:AC75" si="15">LOG10(AB68)</f>
        <v>-0.44806790009588798</v>
      </c>
    </row>
    <row r="69" spans="1:29">
      <c r="A69" s="2" t="s">
        <v>300</v>
      </c>
      <c r="B69" s="2" t="s">
        <v>318</v>
      </c>
      <c r="C69" s="18" t="s">
        <v>61</v>
      </c>
      <c r="D69" s="4" t="s">
        <v>264</v>
      </c>
      <c r="E69" s="2" t="s">
        <v>302</v>
      </c>
      <c r="F69" s="2" t="s">
        <v>37</v>
      </c>
      <c r="G69" s="2" t="s">
        <v>303</v>
      </c>
      <c r="H69" s="2">
        <v>48</v>
      </c>
      <c r="I69" s="99">
        <v>183000000000</v>
      </c>
      <c r="J69" s="2">
        <v>3</v>
      </c>
      <c r="K69" s="106">
        <v>44984</v>
      </c>
      <c r="L69" s="2" t="s">
        <v>63</v>
      </c>
      <c r="M69" s="17" t="s">
        <v>64</v>
      </c>
      <c r="N69" s="17" t="s">
        <v>65</v>
      </c>
      <c r="Q69" s="17">
        <v>0.28000000000000003</v>
      </c>
      <c r="R69" s="4" t="s">
        <v>319</v>
      </c>
      <c r="S69" s="2" t="s">
        <v>320</v>
      </c>
      <c r="T69" s="2">
        <v>680</v>
      </c>
      <c r="U69" s="2" t="s">
        <v>317</v>
      </c>
      <c r="V69" s="2">
        <v>0.05</v>
      </c>
      <c r="W69" s="100">
        <v>45020</v>
      </c>
      <c r="X69" s="2" t="s">
        <v>321</v>
      </c>
      <c r="Y69" s="17" t="s">
        <v>48</v>
      </c>
      <c r="Z69" s="7">
        <v>0.4</v>
      </c>
      <c r="AA69" s="99">
        <v>144400000000</v>
      </c>
      <c r="AB69" s="96">
        <f t="shared" si="14"/>
        <v>0.22488524590163936</v>
      </c>
      <c r="AC69" s="88">
        <f t="shared" si="15"/>
        <v>-0.64803903648829897</v>
      </c>
    </row>
    <row r="70" spans="1:29">
      <c r="A70" s="2" t="s">
        <v>305</v>
      </c>
      <c r="B70" s="2" t="s">
        <v>322</v>
      </c>
      <c r="C70" s="18" t="s">
        <v>61</v>
      </c>
      <c r="D70" s="4" t="s">
        <v>264</v>
      </c>
      <c r="E70" s="2" t="s">
        <v>307</v>
      </c>
      <c r="F70" s="2" t="s">
        <v>37</v>
      </c>
      <c r="G70" s="2" t="s">
        <v>308</v>
      </c>
      <c r="H70" s="2">
        <v>48</v>
      </c>
      <c r="I70" s="99">
        <v>196000000000</v>
      </c>
      <c r="J70" s="2">
        <v>3</v>
      </c>
      <c r="K70" s="106">
        <v>44984</v>
      </c>
      <c r="L70" s="2" t="s">
        <v>63</v>
      </c>
      <c r="M70" s="17" t="s">
        <v>64</v>
      </c>
      <c r="N70" s="17" t="s">
        <v>65</v>
      </c>
      <c r="Q70" s="17">
        <v>0.28000000000000003</v>
      </c>
      <c r="R70" s="4" t="s">
        <v>319</v>
      </c>
      <c r="S70" s="2" t="s">
        <v>320</v>
      </c>
      <c r="T70" s="2">
        <v>680</v>
      </c>
      <c r="U70" s="2" t="s">
        <v>317</v>
      </c>
      <c r="V70" s="2">
        <v>0.05</v>
      </c>
      <c r="W70" s="100">
        <v>45020</v>
      </c>
      <c r="X70" s="2" t="s">
        <v>321</v>
      </c>
      <c r="Y70" s="17" t="s">
        <v>48</v>
      </c>
      <c r="Z70" s="7">
        <v>0.41</v>
      </c>
      <c r="AA70" s="99">
        <v>273600000000</v>
      </c>
      <c r="AB70" s="96">
        <f t="shared" si="14"/>
        <v>0.39783673469387754</v>
      </c>
      <c r="AC70" s="88">
        <f t="shared" si="15"/>
        <v>-0.40029511829988723</v>
      </c>
    </row>
    <row r="71" spans="1:29">
      <c r="A71" s="2" t="s">
        <v>309</v>
      </c>
      <c r="B71" s="2" t="s">
        <v>323</v>
      </c>
      <c r="C71" s="18" t="s">
        <v>61</v>
      </c>
      <c r="D71" s="4" t="s">
        <v>264</v>
      </c>
      <c r="E71" s="2" t="s">
        <v>311</v>
      </c>
      <c r="F71" s="2" t="s">
        <v>37</v>
      </c>
      <c r="G71" s="2" t="s">
        <v>312</v>
      </c>
      <c r="H71" s="2">
        <v>48</v>
      </c>
      <c r="I71" s="107">
        <f>196000000000/0.75</f>
        <v>261333333333.33334</v>
      </c>
      <c r="J71" s="2">
        <v>3</v>
      </c>
      <c r="K71" s="106">
        <v>44984</v>
      </c>
      <c r="L71" s="2" t="s">
        <v>63</v>
      </c>
      <c r="M71" s="17" t="s">
        <v>64</v>
      </c>
      <c r="N71" s="17" t="s">
        <v>65</v>
      </c>
      <c r="Q71" s="17">
        <v>0.28000000000000003</v>
      </c>
      <c r="R71" s="4" t="s">
        <v>319</v>
      </c>
      <c r="S71" s="2" t="s">
        <v>320</v>
      </c>
      <c r="T71" s="2">
        <v>680</v>
      </c>
      <c r="U71" s="2" t="s">
        <v>317</v>
      </c>
      <c r="V71" s="2">
        <v>0.05</v>
      </c>
      <c r="W71" s="100">
        <v>45020</v>
      </c>
      <c r="X71" s="2" t="s">
        <v>304</v>
      </c>
      <c r="Y71" s="17" t="s">
        <v>48</v>
      </c>
      <c r="Z71" s="7">
        <v>0.23</v>
      </c>
      <c r="AA71" s="99">
        <v>277400000000</v>
      </c>
      <c r="AB71" s="96">
        <f t="shared" si="14"/>
        <v>0.30252168367346938</v>
      </c>
      <c r="AC71" s="88">
        <f t="shared" si="15"/>
        <v>-0.51924349121899971</v>
      </c>
    </row>
    <row r="72" spans="1:29">
      <c r="A72" s="2" t="s">
        <v>324</v>
      </c>
      <c r="B72" s="2" t="s">
        <v>325</v>
      </c>
      <c r="C72" s="18" t="s">
        <v>61</v>
      </c>
      <c r="E72" s="7" t="s">
        <v>231</v>
      </c>
      <c r="G72" s="2" t="s">
        <v>263</v>
      </c>
      <c r="K72" s="106">
        <v>44923</v>
      </c>
      <c r="L72" s="2" t="s">
        <v>63</v>
      </c>
      <c r="M72" s="17" t="s">
        <v>64</v>
      </c>
      <c r="N72" s="17" t="s">
        <v>65</v>
      </c>
      <c r="Q72" s="17">
        <v>0.28000000000000003</v>
      </c>
      <c r="R72" s="4" t="s">
        <v>326</v>
      </c>
      <c r="S72" s="2" t="s">
        <v>327</v>
      </c>
      <c r="T72" s="2">
        <v>530</v>
      </c>
      <c r="U72" s="2" t="s">
        <v>328</v>
      </c>
      <c r="V72" s="2">
        <v>3.5000000000000003E-2</v>
      </c>
      <c r="W72" s="100">
        <v>45021</v>
      </c>
      <c r="X72" s="2" t="s">
        <v>329</v>
      </c>
      <c r="Y72" s="17" t="s">
        <v>48</v>
      </c>
      <c r="Z72" s="7">
        <v>0.42</v>
      </c>
      <c r="AA72" s="99">
        <v>301466666666.66669</v>
      </c>
      <c r="AB72" s="96" t="e">
        <f>AA72*0.285/I72</f>
        <v>#DIV/0!</v>
      </c>
      <c r="AC72" s="88" t="e">
        <f t="shared" si="15"/>
        <v>#DIV/0!</v>
      </c>
    </row>
    <row r="73" spans="1:29">
      <c r="A73" s="2" t="s">
        <v>300</v>
      </c>
      <c r="B73" s="2" t="s">
        <v>330</v>
      </c>
      <c r="C73" s="18" t="s">
        <v>61</v>
      </c>
      <c r="D73" s="4" t="s">
        <v>264</v>
      </c>
      <c r="E73" s="2" t="s">
        <v>302</v>
      </c>
      <c r="F73" s="2" t="s">
        <v>37</v>
      </c>
      <c r="G73" s="2" t="s">
        <v>303</v>
      </c>
      <c r="H73" s="2">
        <v>48</v>
      </c>
      <c r="I73" s="99">
        <v>183000000000</v>
      </c>
      <c r="J73" s="2">
        <v>3</v>
      </c>
      <c r="K73" s="106">
        <v>44984</v>
      </c>
      <c r="L73" s="2" t="s">
        <v>63</v>
      </c>
      <c r="M73" s="17" t="s">
        <v>64</v>
      </c>
      <c r="N73" s="17" t="s">
        <v>65</v>
      </c>
      <c r="Q73" s="17">
        <v>0.28000000000000003</v>
      </c>
      <c r="R73" s="4" t="s">
        <v>326</v>
      </c>
      <c r="S73" s="2" t="s">
        <v>327</v>
      </c>
      <c r="T73" s="2">
        <v>530</v>
      </c>
      <c r="U73" s="2" t="s">
        <v>328</v>
      </c>
      <c r="V73" s="2">
        <v>3.5000000000000003E-2</v>
      </c>
      <c r="W73" s="100">
        <v>45021</v>
      </c>
      <c r="X73" s="2" t="s">
        <v>304</v>
      </c>
      <c r="Y73" s="17" t="s">
        <v>48</v>
      </c>
      <c r="Z73" s="7">
        <v>0.24</v>
      </c>
      <c r="AA73" s="99">
        <v>283733333333.33331</v>
      </c>
      <c r="AB73" s="96">
        <f t="shared" ref="AB73:AB75" si="16">AA73*0.285/I73</f>
        <v>0.44187978142076495</v>
      </c>
      <c r="AC73" s="88">
        <f t="shared" si="15"/>
        <v>-0.35469586949060883</v>
      </c>
    </row>
    <row r="74" spans="1:29">
      <c r="A74" s="2" t="s">
        <v>305</v>
      </c>
      <c r="B74" s="2" t="s">
        <v>331</v>
      </c>
      <c r="C74" s="18" t="s">
        <v>61</v>
      </c>
      <c r="D74" s="4" t="s">
        <v>264</v>
      </c>
      <c r="E74" s="2" t="s">
        <v>307</v>
      </c>
      <c r="F74" s="2" t="s">
        <v>37</v>
      </c>
      <c r="G74" s="2" t="s">
        <v>308</v>
      </c>
      <c r="H74" s="2">
        <v>48</v>
      </c>
      <c r="I74" s="99">
        <v>196000000000</v>
      </c>
      <c r="J74" s="2">
        <v>3</v>
      </c>
      <c r="K74" s="106">
        <v>44984</v>
      </c>
      <c r="L74" s="2" t="s">
        <v>63</v>
      </c>
      <c r="M74" s="17" t="s">
        <v>64</v>
      </c>
      <c r="N74" s="17" t="s">
        <v>65</v>
      </c>
      <c r="Q74" s="17">
        <v>0.28000000000000003</v>
      </c>
      <c r="R74" s="4" t="s">
        <v>326</v>
      </c>
      <c r="S74" s="2" t="s">
        <v>327</v>
      </c>
      <c r="T74" s="2">
        <v>530</v>
      </c>
      <c r="U74" s="2" t="s">
        <v>328</v>
      </c>
      <c r="V74" s="2">
        <v>3.5000000000000003E-2</v>
      </c>
      <c r="W74" s="100">
        <v>45021</v>
      </c>
      <c r="X74" s="2" t="s">
        <v>332</v>
      </c>
      <c r="Y74" s="17" t="s">
        <v>48</v>
      </c>
      <c r="Z74" s="7">
        <v>0.26</v>
      </c>
      <c r="AA74" s="99">
        <v>377466666666.66663</v>
      </c>
      <c r="AB74" s="96">
        <f t="shared" si="16"/>
        <v>0.54886734693877548</v>
      </c>
      <c r="AC74" s="88">
        <f t="shared" si="15"/>
        <v>-0.26053260537456291</v>
      </c>
    </row>
    <row r="75" spans="1:29">
      <c r="A75" s="2" t="s">
        <v>309</v>
      </c>
      <c r="B75" s="2" t="s">
        <v>333</v>
      </c>
      <c r="C75" s="18" t="s">
        <v>61</v>
      </c>
      <c r="D75" s="4" t="s">
        <v>264</v>
      </c>
      <c r="E75" s="2" t="s">
        <v>311</v>
      </c>
      <c r="F75" s="2" t="s">
        <v>37</v>
      </c>
      <c r="G75" s="2" t="s">
        <v>312</v>
      </c>
      <c r="H75" s="2">
        <v>48</v>
      </c>
      <c r="I75" s="107">
        <f>196000000000/0.75</f>
        <v>261333333333.33334</v>
      </c>
      <c r="J75" s="2">
        <v>3</v>
      </c>
      <c r="K75" s="106">
        <v>44984</v>
      </c>
      <c r="L75" s="2" t="s">
        <v>63</v>
      </c>
      <c r="M75" s="17" t="s">
        <v>64</v>
      </c>
      <c r="N75" s="17" t="s">
        <v>65</v>
      </c>
      <c r="Q75" s="17">
        <v>0.28000000000000003</v>
      </c>
      <c r="R75" s="4" t="s">
        <v>326</v>
      </c>
      <c r="S75" s="2" t="s">
        <v>327</v>
      </c>
      <c r="T75" s="2">
        <v>530</v>
      </c>
      <c r="U75" s="2" t="s">
        <v>328</v>
      </c>
      <c r="V75" s="2">
        <v>3.5000000000000003E-2</v>
      </c>
      <c r="W75" s="100">
        <v>45021</v>
      </c>
      <c r="X75" s="2" t="s">
        <v>304</v>
      </c>
      <c r="Y75" s="17" t="s">
        <v>48</v>
      </c>
      <c r="Z75" s="7">
        <v>0.12</v>
      </c>
      <c r="AA75" s="99">
        <v>188479999999.99997</v>
      </c>
      <c r="AB75" s="96">
        <f t="shared" si="16"/>
        <v>0.20554897959183666</v>
      </c>
      <c r="AC75" s="88">
        <f t="shared" si="15"/>
        <v>-0.68708467484925839</v>
      </c>
    </row>
    <row r="76" spans="1:29">
      <c r="A76" s="2" t="s">
        <v>300</v>
      </c>
      <c r="B76" s="2" t="s">
        <v>334</v>
      </c>
      <c r="C76" s="18" t="s">
        <v>61</v>
      </c>
      <c r="D76" s="4" t="s">
        <v>264</v>
      </c>
      <c r="E76" s="2" t="s">
        <v>302</v>
      </c>
      <c r="F76" s="2" t="s">
        <v>37</v>
      </c>
      <c r="G76" s="2" t="s">
        <v>303</v>
      </c>
      <c r="H76" s="2">
        <v>48</v>
      </c>
      <c r="I76" s="99">
        <v>183000000000</v>
      </c>
      <c r="J76" s="2">
        <v>3</v>
      </c>
      <c r="K76" s="106">
        <v>44984</v>
      </c>
      <c r="L76" s="2" t="s">
        <v>63</v>
      </c>
      <c r="M76" s="17" t="s">
        <v>64</v>
      </c>
      <c r="N76" s="17" t="s">
        <v>65</v>
      </c>
      <c r="Q76" s="17">
        <v>0.28000000000000003</v>
      </c>
      <c r="R76" s="4" t="s">
        <v>335</v>
      </c>
      <c r="S76" s="2" t="s">
        <v>336</v>
      </c>
      <c r="T76" s="2">
        <v>530</v>
      </c>
      <c r="U76" s="2" t="s">
        <v>299</v>
      </c>
      <c r="V76" s="2">
        <v>6.5000000000000002E-2</v>
      </c>
      <c r="W76" s="100">
        <v>45028</v>
      </c>
      <c r="X76" s="2" t="s">
        <v>332</v>
      </c>
      <c r="Y76" s="17" t="s">
        <v>48</v>
      </c>
      <c r="Z76" s="7">
        <v>0.28999999999999998</v>
      </c>
      <c r="AA76" s="99">
        <v>250800000000</v>
      </c>
      <c r="AB76" s="96">
        <f t="shared" ref="AB76:AB82" si="17">AA76*0.285/I76</f>
        <v>0.39059016393442625</v>
      </c>
      <c r="AC76" s="88">
        <f t="shared" ref="AC76:AC82" si="18">LOG10(AB76)</f>
        <v>-0.40827869756324042</v>
      </c>
    </row>
    <row r="77" spans="1:29">
      <c r="A77" s="2" t="s">
        <v>305</v>
      </c>
      <c r="B77" s="2" t="s">
        <v>337</v>
      </c>
      <c r="C77" s="18" t="s">
        <v>61</v>
      </c>
      <c r="D77" s="4" t="s">
        <v>264</v>
      </c>
      <c r="E77" s="2" t="s">
        <v>307</v>
      </c>
      <c r="F77" s="2" t="s">
        <v>37</v>
      </c>
      <c r="G77" s="2" t="s">
        <v>308</v>
      </c>
      <c r="H77" s="2">
        <v>48</v>
      </c>
      <c r="I77" s="99">
        <v>196000000000</v>
      </c>
      <c r="J77" s="2">
        <v>3</v>
      </c>
      <c r="K77" s="106">
        <v>44984</v>
      </c>
      <c r="L77" s="2" t="s">
        <v>63</v>
      </c>
      <c r="M77" s="17" t="s">
        <v>64</v>
      </c>
      <c r="N77" s="17" t="s">
        <v>65</v>
      </c>
      <c r="Q77" s="17">
        <v>0.28000000000000003</v>
      </c>
      <c r="R77" s="4" t="s">
        <v>335</v>
      </c>
      <c r="S77" s="2" t="s">
        <v>336</v>
      </c>
      <c r="T77" s="2">
        <v>530</v>
      </c>
      <c r="U77" s="2" t="s">
        <v>299</v>
      </c>
      <c r="V77" s="2">
        <v>6.5000000000000002E-2</v>
      </c>
      <c r="W77" s="100">
        <v>45028</v>
      </c>
      <c r="X77" s="2" t="s">
        <v>338</v>
      </c>
      <c r="Y77" s="17" t="s">
        <v>48</v>
      </c>
      <c r="Z77" s="7">
        <v>0.32</v>
      </c>
      <c r="AA77" s="99">
        <v>345800000000</v>
      </c>
      <c r="AB77" s="96">
        <f t="shared" si="17"/>
        <v>0.50282142857142853</v>
      </c>
      <c r="AC77" s="88">
        <f t="shared" si="18"/>
        <v>-0.29858622241006211</v>
      </c>
    </row>
    <row r="78" spans="1:29">
      <c r="A78" s="2" t="s">
        <v>309</v>
      </c>
      <c r="B78" s="2" t="s">
        <v>339</v>
      </c>
      <c r="C78" s="18" t="s">
        <v>61</v>
      </c>
      <c r="D78" s="4" t="s">
        <v>264</v>
      </c>
      <c r="E78" s="2" t="s">
        <v>311</v>
      </c>
      <c r="F78" s="2" t="s">
        <v>37</v>
      </c>
      <c r="G78" s="2" t="s">
        <v>312</v>
      </c>
      <c r="H78" s="2">
        <v>48</v>
      </c>
      <c r="I78" s="107">
        <f>196000000000/0.75</f>
        <v>261333333333.33334</v>
      </c>
      <c r="J78" s="2">
        <v>3</v>
      </c>
      <c r="K78" s="106">
        <v>44984</v>
      </c>
      <c r="L78" s="2" t="s">
        <v>63</v>
      </c>
      <c r="M78" s="17" t="s">
        <v>64</v>
      </c>
      <c r="N78" s="17" t="s">
        <v>65</v>
      </c>
      <c r="Q78" s="17">
        <v>0.28000000000000003</v>
      </c>
      <c r="R78" s="4" t="s">
        <v>335</v>
      </c>
      <c r="S78" s="2" t="s">
        <v>336</v>
      </c>
      <c r="T78" s="2">
        <v>530</v>
      </c>
      <c r="U78" s="2" t="s">
        <v>299</v>
      </c>
      <c r="V78" s="2">
        <v>6.5000000000000002E-2</v>
      </c>
      <c r="W78" s="100">
        <v>45028</v>
      </c>
      <c r="X78" s="2" t="s">
        <v>304</v>
      </c>
      <c r="Y78" s="17" t="s">
        <v>48</v>
      </c>
      <c r="Z78" s="7">
        <v>0.14000000000000001</v>
      </c>
      <c r="AA78" s="99">
        <v>300200000000</v>
      </c>
      <c r="AB78" s="96">
        <f t="shared" si="17"/>
        <v>0.3273864795918367</v>
      </c>
      <c r="AC78" s="88">
        <f t="shared" si="18"/>
        <v>-0.48493926004901428</v>
      </c>
    </row>
    <row r="79" spans="1:29">
      <c r="A79" s="2" t="s">
        <v>340</v>
      </c>
      <c r="B79" s="2" t="s">
        <v>341</v>
      </c>
      <c r="C79" s="18" t="s">
        <v>61</v>
      </c>
      <c r="E79" s="7" t="s">
        <v>231</v>
      </c>
      <c r="G79" s="2" t="s">
        <v>263</v>
      </c>
      <c r="K79" s="106">
        <v>44923</v>
      </c>
      <c r="L79" s="2" t="s">
        <v>63</v>
      </c>
      <c r="M79" s="17" t="s">
        <v>64</v>
      </c>
      <c r="N79" s="17" t="s">
        <v>65</v>
      </c>
      <c r="Q79" s="17">
        <v>0.28000000000000003</v>
      </c>
      <c r="R79" s="4" t="s">
        <v>342</v>
      </c>
      <c r="S79" s="2" t="s">
        <v>343</v>
      </c>
      <c r="T79" s="2">
        <v>380</v>
      </c>
      <c r="U79" s="2" t="s">
        <v>328</v>
      </c>
      <c r="V79" s="2">
        <v>3.5000000000000003E-2</v>
      </c>
      <c r="W79" s="100">
        <v>45028</v>
      </c>
      <c r="X79" s="2" t="s">
        <v>344</v>
      </c>
      <c r="Y79" s="17" t="s">
        <v>48</v>
      </c>
      <c r="Z79" s="7">
        <v>0.15</v>
      </c>
      <c r="AA79" s="99">
        <v>338200000000</v>
      </c>
      <c r="AB79" s="96" t="e">
        <f t="shared" si="17"/>
        <v>#DIV/0!</v>
      </c>
      <c r="AC79" s="88" t="e">
        <f t="shared" si="18"/>
        <v>#DIV/0!</v>
      </c>
    </row>
    <row r="80" spans="1:29">
      <c r="A80" s="2" t="s">
        <v>300</v>
      </c>
      <c r="B80" s="2" t="s">
        <v>345</v>
      </c>
      <c r="C80" s="18" t="s">
        <v>61</v>
      </c>
      <c r="D80" s="4" t="s">
        <v>264</v>
      </c>
      <c r="E80" s="2" t="s">
        <v>302</v>
      </c>
      <c r="F80" s="2" t="s">
        <v>37</v>
      </c>
      <c r="G80" s="2" t="s">
        <v>303</v>
      </c>
      <c r="H80" s="2">
        <v>48</v>
      </c>
      <c r="I80" s="99">
        <v>183000000000</v>
      </c>
      <c r="J80" s="2">
        <v>3</v>
      </c>
      <c r="K80" s="106">
        <v>44984</v>
      </c>
      <c r="L80" s="2" t="s">
        <v>63</v>
      </c>
      <c r="M80" s="17" t="s">
        <v>64</v>
      </c>
      <c r="N80" s="17" t="s">
        <v>65</v>
      </c>
      <c r="Q80" s="17">
        <v>0.28000000000000003</v>
      </c>
      <c r="R80" s="4" t="s">
        <v>342</v>
      </c>
      <c r="S80" s="2" t="s">
        <v>343</v>
      </c>
      <c r="T80" s="2">
        <v>380</v>
      </c>
      <c r="U80" s="2" t="s">
        <v>328</v>
      </c>
      <c r="V80" s="2">
        <v>3.5000000000000003E-2</v>
      </c>
      <c r="W80" s="100">
        <v>45028</v>
      </c>
      <c r="X80" s="2" t="s">
        <v>346</v>
      </c>
      <c r="Y80" s="17" t="s">
        <v>48</v>
      </c>
      <c r="Z80" s="7">
        <v>0.11</v>
      </c>
      <c r="AA80" s="99">
        <v>231800000000</v>
      </c>
      <c r="AB80" s="96">
        <f t="shared" si="17"/>
        <v>0.36099999999999993</v>
      </c>
      <c r="AC80" s="88">
        <f t="shared" si="18"/>
        <v>-0.44249279809434217</v>
      </c>
    </row>
    <row r="81" spans="1:29">
      <c r="A81" s="2" t="s">
        <v>305</v>
      </c>
      <c r="B81" s="2" t="s">
        <v>347</v>
      </c>
      <c r="C81" s="18" t="s">
        <v>61</v>
      </c>
      <c r="D81" s="4" t="s">
        <v>264</v>
      </c>
      <c r="E81" s="2" t="s">
        <v>307</v>
      </c>
      <c r="F81" s="2" t="s">
        <v>37</v>
      </c>
      <c r="G81" s="2" t="s">
        <v>308</v>
      </c>
      <c r="H81" s="2">
        <v>48</v>
      </c>
      <c r="I81" s="99">
        <v>196000000000</v>
      </c>
      <c r="J81" s="2">
        <v>3</v>
      </c>
      <c r="K81" s="106">
        <v>44984</v>
      </c>
      <c r="L81" s="2" t="s">
        <v>63</v>
      </c>
      <c r="M81" s="17" t="s">
        <v>64</v>
      </c>
      <c r="N81" s="17" t="s">
        <v>65</v>
      </c>
      <c r="Q81" s="17">
        <v>0.28000000000000003</v>
      </c>
      <c r="R81" s="4" t="s">
        <v>342</v>
      </c>
      <c r="S81" s="2" t="s">
        <v>343</v>
      </c>
      <c r="T81" s="2">
        <v>380</v>
      </c>
      <c r="U81" s="2" t="s">
        <v>328</v>
      </c>
      <c r="V81" s="2">
        <v>3.5000000000000003E-2</v>
      </c>
      <c r="W81" s="100">
        <v>45028</v>
      </c>
      <c r="X81" s="2" t="s">
        <v>346</v>
      </c>
      <c r="Y81" s="17" t="s">
        <v>48</v>
      </c>
      <c r="Z81" s="7">
        <v>0.09</v>
      </c>
      <c r="AA81" s="99">
        <v>307800000000</v>
      </c>
      <c r="AB81" s="96">
        <f t="shared" si="17"/>
        <v>0.44756632653061224</v>
      </c>
      <c r="AC81" s="88">
        <f t="shared" si="18"/>
        <v>-0.34914259585250595</v>
      </c>
    </row>
    <row r="82" spans="1:29">
      <c r="A82" s="2" t="s">
        <v>309</v>
      </c>
      <c r="B82" s="2" t="s">
        <v>348</v>
      </c>
      <c r="C82" s="18" t="s">
        <v>61</v>
      </c>
      <c r="D82" s="4" t="s">
        <v>264</v>
      </c>
      <c r="E82" s="2" t="s">
        <v>311</v>
      </c>
      <c r="F82" s="2" t="s">
        <v>37</v>
      </c>
      <c r="G82" s="2" t="s">
        <v>312</v>
      </c>
      <c r="H82" s="2">
        <v>48</v>
      </c>
      <c r="I82" s="107">
        <f>196000000000/0.75</f>
        <v>261333333333.33334</v>
      </c>
      <c r="J82" s="2">
        <v>3</v>
      </c>
      <c r="K82" s="106">
        <v>44984</v>
      </c>
      <c r="L82" s="2" t="s">
        <v>63</v>
      </c>
      <c r="M82" s="17" t="s">
        <v>64</v>
      </c>
      <c r="N82" s="17" t="s">
        <v>65</v>
      </c>
      <c r="Q82" s="17">
        <v>0.28000000000000003</v>
      </c>
      <c r="R82" s="4" t="s">
        <v>342</v>
      </c>
      <c r="S82" s="2" t="s">
        <v>343</v>
      </c>
      <c r="T82" s="2">
        <v>380</v>
      </c>
      <c r="U82" s="2" t="s">
        <v>328</v>
      </c>
      <c r="V82" s="2">
        <v>3.5000000000000003E-2</v>
      </c>
      <c r="W82" s="100">
        <v>45028</v>
      </c>
      <c r="X82" s="2" t="s">
        <v>349</v>
      </c>
      <c r="Y82" s="17" t="s">
        <v>48</v>
      </c>
      <c r="Z82" s="7">
        <v>0.05</v>
      </c>
      <c r="AA82" s="99">
        <v>107160000000</v>
      </c>
      <c r="AB82" s="96">
        <f t="shared" si="17"/>
        <v>0.11686454081632651</v>
      </c>
      <c r="AC82" s="88">
        <f t="shared" si="18"/>
        <v>-0.93231724302009467</v>
      </c>
    </row>
    <row r="83" spans="1:29">
      <c r="A83" s="2" t="s">
        <v>350</v>
      </c>
      <c r="B83" s="2" t="s">
        <v>351</v>
      </c>
      <c r="C83" s="18" t="s">
        <v>61</v>
      </c>
      <c r="E83" s="7" t="s">
        <v>231</v>
      </c>
      <c r="G83" s="2" t="s">
        <v>263</v>
      </c>
      <c r="K83" s="106">
        <v>44923</v>
      </c>
      <c r="L83" s="2" t="s">
        <v>63</v>
      </c>
      <c r="M83" s="17" t="s">
        <v>64</v>
      </c>
      <c r="N83" s="17" t="s">
        <v>65</v>
      </c>
      <c r="Q83" s="17">
        <v>0.28000000000000003</v>
      </c>
      <c r="R83" s="4" t="s">
        <v>352</v>
      </c>
      <c r="S83" s="2" t="s">
        <v>353</v>
      </c>
      <c r="T83" s="2">
        <v>380</v>
      </c>
      <c r="U83" s="2" t="s">
        <v>354</v>
      </c>
      <c r="V83" s="2">
        <v>6.5000000000000002E-2</v>
      </c>
      <c r="W83" s="100">
        <v>45029</v>
      </c>
      <c r="X83" s="2" t="s">
        <v>355</v>
      </c>
      <c r="Y83" s="17" t="s">
        <v>48</v>
      </c>
      <c r="Z83" s="7">
        <v>0.22</v>
      </c>
      <c r="AA83" s="99">
        <v>406600000000</v>
      </c>
      <c r="AB83" s="96" t="e">
        <f t="shared" ref="AB83:AB86" si="19">AA83*0.285/I83</f>
        <v>#DIV/0!</v>
      </c>
      <c r="AC83" s="88" t="e">
        <f t="shared" ref="AC83:AC86" si="20">LOG10(AB83)</f>
        <v>#DIV/0!</v>
      </c>
    </row>
    <row r="84" spans="1:29">
      <c r="A84" s="2" t="s">
        <v>300</v>
      </c>
      <c r="B84" s="2" t="s">
        <v>356</v>
      </c>
      <c r="C84" s="18" t="s">
        <v>61</v>
      </c>
      <c r="D84" s="4" t="s">
        <v>264</v>
      </c>
      <c r="E84" s="2" t="s">
        <v>302</v>
      </c>
      <c r="F84" s="2" t="s">
        <v>37</v>
      </c>
      <c r="G84" s="2" t="s">
        <v>303</v>
      </c>
      <c r="H84" s="2">
        <v>48</v>
      </c>
      <c r="I84" s="99">
        <v>183000000000</v>
      </c>
      <c r="J84" s="2">
        <v>3</v>
      </c>
      <c r="K84" s="106">
        <v>44984</v>
      </c>
      <c r="L84" s="2" t="s">
        <v>63</v>
      </c>
      <c r="M84" s="17" t="s">
        <v>64</v>
      </c>
      <c r="N84" s="17" t="s">
        <v>65</v>
      </c>
      <c r="Q84" s="17">
        <v>0.28000000000000003</v>
      </c>
      <c r="R84" s="4" t="s">
        <v>352</v>
      </c>
      <c r="S84" s="2" t="s">
        <v>353</v>
      </c>
      <c r="T84" s="2">
        <v>380</v>
      </c>
      <c r="U84" s="2" t="s">
        <v>354</v>
      </c>
      <c r="V84" s="2">
        <v>6.5000000000000002E-2</v>
      </c>
      <c r="W84" s="100">
        <v>45029</v>
      </c>
      <c r="X84" s="2" t="s">
        <v>357</v>
      </c>
      <c r="Y84" s="17" t="s">
        <v>48</v>
      </c>
      <c r="Z84" s="7">
        <v>0.14000000000000001</v>
      </c>
      <c r="AA84" s="99">
        <v>247000000000</v>
      </c>
      <c r="AB84" s="96">
        <f t="shared" si="19"/>
        <v>0.38467213114754101</v>
      </c>
      <c r="AC84" s="88">
        <f t="shared" si="20"/>
        <v>-0.41490927646225351</v>
      </c>
    </row>
    <row r="85" spans="1:29">
      <c r="A85" s="2" t="s">
        <v>305</v>
      </c>
      <c r="B85" s="2" t="s">
        <v>358</v>
      </c>
      <c r="C85" s="18" t="s">
        <v>61</v>
      </c>
      <c r="D85" s="4" t="s">
        <v>264</v>
      </c>
      <c r="E85" s="2" t="s">
        <v>307</v>
      </c>
      <c r="F85" s="2" t="s">
        <v>37</v>
      </c>
      <c r="G85" s="2" t="s">
        <v>308</v>
      </c>
      <c r="H85" s="2">
        <v>48</v>
      </c>
      <c r="I85" s="99">
        <v>196000000000</v>
      </c>
      <c r="J85" s="2">
        <v>3</v>
      </c>
      <c r="K85" s="106">
        <v>44984</v>
      </c>
      <c r="L85" s="2" t="s">
        <v>63</v>
      </c>
      <c r="M85" s="17" t="s">
        <v>64</v>
      </c>
      <c r="N85" s="17" t="s">
        <v>65</v>
      </c>
      <c r="Q85" s="17">
        <v>0.28000000000000003</v>
      </c>
      <c r="R85" s="4" t="s">
        <v>352</v>
      </c>
      <c r="S85" s="2" t="s">
        <v>353</v>
      </c>
      <c r="T85" s="2">
        <v>380</v>
      </c>
      <c r="U85" s="2" t="s">
        <v>354</v>
      </c>
      <c r="V85" s="2">
        <v>6.5000000000000002E-2</v>
      </c>
      <c r="W85" s="100">
        <v>45029</v>
      </c>
      <c r="X85" s="2" t="s">
        <v>357</v>
      </c>
      <c r="Y85" s="17" t="s">
        <v>48</v>
      </c>
      <c r="Z85" s="7">
        <v>0.13</v>
      </c>
      <c r="AA85" s="99">
        <v>202160000000</v>
      </c>
      <c r="AB85" s="96">
        <f t="shared" si="19"/>
        <v>0.29395714285714281</v>
      </c>
      <c r="AC85" s="88">
        <f t="shared" si="20"/>
        <v>-0.53171598243610763</v>
      </c>
    </row>
    <row r="86" spans="1:29">
      <c r="A86" s="2" t="s">
        <v>309</v>
      </c>
      <c r="B86" s="2" t="s">
        <v>359</v>
      </c>
      <c r="C86" s="18" t="s">
        <v>61</v>
      </c>
      <c r="D86" s="4" t="s">
        <v>264</v>
      </c>
      <c r="E86" s="2" t="s">
        <v>311</v>
      </c>
      <c r="F86" s="2" t="s">
        <v>37</v>
      </c>
      <c r="G86" s="2" t="s">
        <v>312</v>
      </c>
      <c r="H86" s="2">
        <v>48</v>
      </c>
      <c r="I86" s="107">
        <f>196000000000/0.75</f>
        <v>261333333333.33334</v>
      </c>
      <c r="J86" s="2">
        <v>3</v>
      </c>
      <c r="K86" s="106">
        <v>44984</v>
      </c>
      <c r="L86" s="2" t="s">
        <v>63</v>
      </c>
      <c r="M86" s="17" t="s">
        <v>64</v>
      </c>
      <c r="N86" s="17" t="s">
        <v>65</v>
      </c>
      <c r="Q86" s="17">
        <v>0.28000000000000003</v>
      </c>
      <c r="R86" s="4" t="s">
        <v>352</v>
      </c>
      <c r="S86" s="2" t="s">
        <v>353</v>
      </c>
      <c r="T86" s="2">
        <v>380</v>
      </c>
      <c r="U86" s="2" t="s">
        <v>354</v>
      </c>
      <c r="V86" s="2">
        <v>6.5000000000000002E-2</v>
      </c>
      <c r="W86" s="100">
        <v>45029</v>
      </c>
      <c r="X86" s="2" t="s">
        <v>360</v>
      </c>
      <c r="Y86" s="17" t="s">
        <v>48</v>
      </c>
      <c r="Z86" s="7">
        <v>0.08</v>
      </c>
      <c r="AA86" s="99">
        <v>153520000000</v>
      </c>
      <c r="AB86" s="96">
        <f t="shared" si="19"/>
        <v>0.16742295918367348</v>
      </c>
      <c r="AC86" s="88">
        <f t="shared" si="20"/>
        <v>-0.77618498622885068</v>
      </c>
    </row>
    <row r="87" spans="1:29">
      <c r="A87" s="2" t="s">
        <v>361</v>
      </c>
      <c r="B87" s="2" t="s">
        <v>362</v>
      </c>
      <c r="C87" s="18" t="s">
        <v>35</v>
      </c>
      <c r="D87" s="4" t="s">
        <v>335</v>
      </c>
      <c r="E87" s="2" t="s">
        <v>363</v>
      </c>
      <c r="F87" s="2" t="s">
        <v>37</v>
      </c>
      <c r="G87" s="2" t="s">
        <v>364</v>
      </c>
      <c r="H87" s="2">
        <v>48</v>
      </c>
      <c r="I87" s="125">
        <v>329000000000</v>
      </c>
      <c r="J87" s="2">
        <v>1</v>
      </c>
      <c r="K87" s="106">
        <v>45022</v>
      </c>
      <c r="L87" s="2" t="s">
        <v>63</v>
      </c>
      <c r="M87" s="17" t="s">
        <v>64</v>
      </c>
      <c r="N87" s="17" t="s">
        <v>65</v>
      </c>
      <c r="Q87" s="17">
        <v>0.28000000000000003</v>
      </c>
      <c r="R87" s="4" t="s">
        <v>352</v>
      </c>
      <c r="S87" s="2" t="s">
        <v>44</v>
      </c>
      <c r="T87" s="2" t="s">
        <v>365</v>
      </c>
      <c r="U87" s="2" t="s">
        <v>366</v>
      </c>
      <c r="V87" s="2">
        <v>0.05</v>
      </c>
      <c r="W87" s="100">
        <v>45035</v>
      </c>
      <c r="X87" s="2" t="s">
        <v>367</v>
      </c>
      <c r="Y87" s="17" t="s">
        <v>48</v>
      </c>
      <c r="Z87" s="7">
        <v>0.27</v>
      </c>
      <c r="AA87" s="99">
        <v>551000000000</v>
      </c>
      <c r="AB87" s="96">
        <f t="shared" ref="AB87:AB91" si="21">AA87*0.285/I87</f>
        <v>0.47731003039513675</v>
      </c>
      <c r="AC87" s="88">
        <f t="shared" ref="AC87:AC91" si="22">LOG10(AB87)</f>
        <v>-0.32119943908967907</v>
      </c>
    </row>
    <row r="88" spans="1:29">
      <c r="A88" s="2" t="s">
        <v>361</v>
      </c>
      <c r="B88" s="2" t="s">
        <v>368</v>
      </c>
      <c r="C88" s="18" t="s">
        <v>35</v>
      </c>
      <c r="D88" s="4" t="s">
        <v>335</v>
      </c>
      <c r="E88" s="2" t="s">
        <v>363</v>
      </c>
      <c r="F88" s="2" t="s">
        <v>37</v>
      </c>
      <c r="G88" s="2" t="s">
        <v>364</v>
      </c>
      <c r="H88" s="2">
        <v>48</v>
      </c>
      <c r="I88" s="125">
        <v>329000000000</v>
      </c>
      <c r="J88" s="2">
        <v>1</v>
      </c>
      <c r="K88" s="106">
        <v>45022</v>
      </c>
      <c r="L88" s="2" t="s">
        <v>63</v>
      </c>
      <c r="M88" s="17" t="s">
        <v>64</v>
      </c>
      <c r="N88" s="17" t="s">
        <v>65</v>
      </c>
      <c r="Q88" s="17">
        <v>0.28000000000000003</v>
      </c>
      <c r="R88" s="4" t="s">
        <v>369</v>
      </c>
      <c r="S88" s="2" t="s">
        <v>44</v>
      </c>
      <c r="T88" s="2" t="s">
        <v>365</v>
      </c>
      <c r="U88" s="2" t="s">
        <v>366</v>
      </c>
      <c r="V88" s="2">
        <v>0.05</v>
      </c>
      <c r="W88" s="100">
        <v>45035</v>
      </c>
      <c r="X88" s="2" t="s">
        <v>370</v>
      </c>
      <c r="Y88" s="17" t="s">
        <v>48</v>
      </c>
      <c r="Z88" s="7">
        <v>0.25</v>
      </c>
      <c r="AA88" s="99">
        <v>445000000000</v>
      </c>
      <c r="AB88" s="96">
        <f t="shared" si="21"/>
        <v>0.3854863221884498</v>
      </c>
      <c r="AC88" s="88">
        <f t="shared" si="22"/>
        <v>-0.41399102696053253</v>
      </c>
    </row>
    <row r="89" spans="1:29">
      <c r="A89" s="2" t="s">
        <v>361</v>
      </c>
      <c r="B89" s="2" t="s">
        <v>371</v>
      </c>
      <c r="C89" s="18" t="s">
        <v>35</v>
      </c>
      <c r="D89" s="4" t="s">
        <v>335</v>
      </c>
      <c r="E89" s="2" t="s">
        <v>363</v>
      </c>
      <c r="F89" s="2" t="s">
        <v>37</v>
      </c>
      <c r="G89" s="2" t="s">
        <v>364</v>
      </c>
      <c r="H89" s="2">
        <v>48</v>
      </c>
      <c r="I89" s="125">
        <v>329000000000</v>
      </c>
      <c r="J89" s="2">
        <v>1</v>
      </c>
      <c r="K89" s="106">
        <v>45022</v>
      </c>
      <c r="L89" s="2" t="s">
        <v>63</v>
      </c>
      <c r="M89" s="17" t="s">
        <v>64</v>
      </c>
      <c r="N89" s="17" t="s">
        <v>65</v>
      </c>
      <c r="Q89" s="17">
        <v>0.28000000000000003</v>
      </c>
      <c r="R89" s="4" t="s">
        <v>369</v>
      </c>
      <c r="S89" s="2" t="s">
        <v>44</v>
      </c>
      <c r="T89" s="2" t="s">
        <v>365</v>
      </c>
      <c r="U89" s="2" t="s">
        <v>366</v>
      </c>
      <c r="V89" s="2">
        <v>0.05</v>
      </c>
      <c r="W89" s="100">
        <v>45035</v>
      </c>
      <c r="X89" s="2" t="s">
        <v>372</v>
      </c>
      <c r="Y89" s="17" t="s">
        <v>48</v>
      </c>
      <c r="Z89" s="7">
        <v>0.31</v>
      </c>
      <c r="AA89" s="99">
        <v>547000000000</v>
      </c>
      <c r="AB89" s="96">
        <f t="shared" si="21"/>
        <v>0.47384498480243159</v>
      </c>
      <c r="AC89" s="88">
        <f t="shared" si="22"/>
        <v>-0.32436371160803334</v>
      </c>
    </row>
    <row r="90" spans="1:29">
      <c r="A90" s="2" t="s">
        <v>361</v>
      </c>
      <c r="B90" s="2" t="s">
        <v>373</v>
      </c>
      <c r="C90" s="18" t="s">
        <v>35</v>
      </c>
      <c r="D90" s="4" t="s">
        <v>335</v>
      </c>
      <c r="E90" s="2" t="s">
        <v>363</v>
      </c>
      <c r="F90" s="2" t="s">
        <v>37</v>
      </c>
      <c r="G90" s="2" t="s">
        <v>364</v>
      </c>
      <c r="H90" s="2">
        <v>48</v>
      </c>
      <c r="I90" s="125">
        <v>329000000000</v>
      </c>
      <c r="J90" s="2">
        <v>1</v>
      </c>
      <c r="K90" s="106">
        <v>45022</v>
      </c>
      <c r="L90" s="2" t="s">
        <v>63</v>
      </c>
      <c r="M90" s="17" t="s">
        <v>64</v>
      </c>
      <c r="N90" s="17" t="s">
        <v>65</v>
      </c>
      <c r="Q90" s="17">
        <v>0.28000000000000003</v>
      </c>
      <c r="R90" s="4" t="s">
        <v>369</v>
      </c>
      <c r="S90" s="2" t="s">
        <v>44</v>
      </c>
      <c r="T90" s="2" t="s">
        <v>365</v>
      </c>
      <c r="U90" s="2" t="s">
        <v>366</v>
      </c>
      <c r="V90" s="2">
        <v>0.05</v>
      </c>
      <c r="W90" s="100">
        <v>45035</v>
      </c>
      <c r="X90" s="2" t="s">
        <v>374</v>
      </c>
      <c r="Y90" s="17" t="s">
        <v>48</v>
      </c>
      <c r="Z90" s="7">
        <v>0.31</v>
      </c>
      <c r="AA90" s="99">
        <v>350000000000</v>
      </c>
      <c r="AB90" s="96">
        <f t="shared" si="21"/>
        <v>0.30319148936170209</v>
      </c>
      <c r="AC90" s="88">
        <f t="shared" si="22"/>
        <v>-0.51828299359118846</v>
      </c>
    </row>
    <row r="91" spans="1:29">
      <c r="A91" s="2" t="s">
        <v>361</v>
      </c>
      <c r="B91" s="2" t="s">
        <v>375</v>
      </c>
      <c r="C91" s="18" t="s">
        <v>35</v>
      </c>
      <c r="D91" s="4" t="s">
        <v>335</v>
      </c>
      <c r="E91" s="2" t="s">
        <v>363</v>
      </c>
      <c r="F91" s="2" t="s">
        <v>37</v>
      </c>
      <c r="G91" s="2" t="s">
        <v>364</v>
      </c>
      <c r="H91" s="2">
        <v>48</v>
      </c>
      <c r="I91" s="125">
        <v>329000000000</v>
      </c>
      <c r="J91" s="2">
        <v>1</v>
      </c>
      <c r="K91" s="106">
        <v>45022</v>
      </c>
      <c r="L91" s="2" t="s">
        <v>63</v>
      </c>
      <c r="M91" s="17" t="s">
        <v>64</v>
      </c>
      <c r="N91" s="17" t="s">
        <v>65</v>
      </c>
      <c r="Q91" s="17">
        <v>0.28000000000000003</v>
      </c>
      <c r="R91" s="4" t="s">
        <v>369</v>
      </c>
      <c r="S91" s="2" t="s">
        <v>44</v>
      </c>
      <c r="T91" s="2" t="s">
        <v>365</v>
      </c>
      <c r="U91" s="2" t="s">
        <v>366</v>
      </c>
      <c r="V91" s="2">
        <v>0.05</v>
      </c>
      <c r="W91" s="100">
        <v>45035</v>
      </c>
      <c r="X91" s="2" t="s">
        <v>376</v>
      </c>
      <c r="Y91" s="17" t="s">
        <v>48</v>
      </c>
      <c r="Z91" s="7">
        <v>0.31</v>
      </c>
      <c r="AA91" s="99">
        <v>380000000000</v>
      </c>
      <c r="AB91" s="96">
        <f t="shared" si="21"/>
        <v>0.32917933130699084</v>
      </c>
      <c r="AC91" s="88">
        <f t="shared" si="22"/>
        <v>-0.48256744132465401</v>
      </c>
    </row>
    <row r="92" spans="1:29">
      <c r="A92" s="2" t="s">
        <v>361</v>
      </c>
      <c r="B92" s="2" t="s">
        <v>377</v>
      </c>
      <c r="C92" s="18" t="s">
        <v>35</v>
      </c>
      <c r="D92" s="4" t="s">
        <v>335</v>
      </c>
      <c r="E92" s="2" t="s">
        <v>363</v>
      </c>
      <c r="F92" s="2" t="s">
        <v>37</v>
      </c>
      <c r="G92" s="2" t="s">
        <v>364</v>
      </c>
      <c r="H92" s="2">
        <v>48</v>
      </c>
      <c r="I92" s="125">
        <v>329000000000</v>
      </c>
      <c r="J92" s="2">
        <v>1</v>
      </c>
      <c r="K92" s="106">
        <v>45022</v>
      </c>
      <c r="L92" s="2" t="s">
        <v>63</v>
      </c>
      <c r="M92" s="17" t="s">
        <v>64</v>
      </c>
      <c r="N92" s="17" t="s">
        <v>65</v>
      </c>
      <c r="Q92" s="17">
        <v>0.28000000000000003</v>
      </c>
      <c r="R92" s="4" t="s">
        <v>369</v>
      </c>
      <c r="S92" s="2" t="s">
        <v>44</v>
      </c>
      <c r="T92" s="2" t="s">
        <v>365</v>
      </c>
      <c r="U92" s="2" t="s">
        <v>378</v>
      </c>
      <c r="V92" s="2">
        <v>0.05</v>
      </c>
      <c r="W92" s="7" t="s">
        <v>379</v>
      </c>
      <c r="X92" s="2" t="s">
        <v>380</v>
      </c>
      <c r="Y92" s="2" t="s">
        <v>381</v>
      </c>
      <c r="Z92" s="7">
        <v>3.1E-2</v>
      </c>
      <c r="AA92" s="99">
        <v>467000000000</v>
      </c>
      <c r="AB92" s="96">
        <f t="shared" ref="AB92:AB97" si="23">AA92*0.285/I92</f>
        <v>0.40454407294832823</v>
      </c>
      <c r="AC92" s="88">
        <f t="shared" ref="AC92:AC97" si="24">LOG10(AB92)</f>
        <v>-0.39303415737535197</v>
      </c>
    </row>
    <row r="93" spans="1:29">
      <c r="A93" s="2" t="s">
        <v>361</v>
      </c>
      <c r="B93" s="2" t="s">
        <v>382</v>
      </c>
      <c r="C93" s="18" t="s">
        <v>35</v>
      </c>
      <c r="D93" s="4" t="s">
        <v>335</v>
      </c>
      <c r="E93" s="2" t="s">
        <v>363</v>
      </c>
      <c r="F93" s="2" t="s">
        <v>37</v>
      </c>
      <c r="G93" s="2" t="s">
        <v>364</v>
      </c>
      <c r="H93" s="2">
        <v>48</v>
      </c>
      <c r="I93" s="125">
        <v>329000000000</v>
      </c>
      <c r="J93" s="2">
        <v>1</v>
      </c>
      <c r="K93" s="106">
        <v>45022</v>
      </c>
      <c r="L93" s="2" t="s">
        <v>63</v>
      </c>
      <c r="M93" s="17" t="s">
        <v>64</v>
      </c>
      <c r="N93" s="17" t="s">
        <v>65</v>
      </c>
      <c r="Q93" s="17">
        <v>0.28000000000000003</v>
      </c>
      <c r="R93" s="4" t="s">
        <v>369</v>
      </c>
      <c r="S93" s="2" t="s">
        <v>44</v>
      </c>
      <c r="T93" s="2" t="s">
        <v>365</v>
      </c>
      <c r="U93" s="2" t="s">
        <v>378</v>
      </c>
      <c r="V93" s="2">
        <v>0.05</v>
      </c>
      <c r="W93" s="7" t="s">
        <v>379</v>
      </c>
      <c r="X93" s="2" t="s">
        <v>380</v>
      </c>
      <c r="Y93" s="2" t="s">
        <v>381</v>
      </c>
      <c r="Z93" s="7">
        <v>4.1000000000000002E-2</v>
      </c>
      <c r="AA93" s="99">
        <v>566000000000</v>
      </c>
      <c r="AB93" s="96">
        <f t="shared" si="23"/>
        <v>0.49030395136778115</v>
      </c>
      <c r="AC93" s="88">
        <f t="shared" si="24"/>
        <v>-0.30953460675319266</v>
      </c>
    </row>
    <row r="94" spans="1:29">
      <c r="A94" s="2" t="s">
        <v>361</v>
      </c>
      <c r="B94" s="2" t="s">
        <v>383</v>
      </c>
      <c r="C94" s="18" t="s">
        <v>35</v>
      </c>
      <c r="D94" s="4" t="s">
        <v>335</v>
      </c>
      <c r="E94" s="2" t="s">
        <v>363</v>
      </c>
      <c r="F94" s="2" t="s">
        <v>37</v>
      </c>
      <c r="G94" s="2" t="s">
        <v>364</v>
      </c>
      <c r="H94" s="2">
        <v>48</v>
      </c>
      <c r="I94" s="125">
        <v>329000000000</v>
      </c>
      <c r="J94" s="2">
        <v>1</v>
      </c>
      <c r="K94" s="106">
        <v>45022</v>
      </c>
      <c r="L94" s="2" t="s">
        <v>63</v>
      </c>
      <c r="M94" s="17" t="s">
        <v>64</v>
      </c>
      <c r="N94" s="17" t="s">
        <v>65</v>
      </c>
      <c r="Q94" s="17">
        <v>0.28000000000000003</v>
      </c>
      <c r="R94" s="4" t="s">
        <v>369</v>
      </c>
      <c r="S94" s="2" t="s">
        <v>44</v>
      </c>
      <c r="T94" s="2" t="s">
        <v>365</v>
      </c>
      <c r="U94" s="2" t="s">
        <v>378</v>
      </c>
      <c r="V94" s="2">
        <v>0.05</v>
      </c>
      <c r="W94" s="7" t="s">
        <v>379</v>
      </c>
      <c r="X94" s="2" t="s">
        <v>380</v>
      </c>
      <c r="Y94" s="2" t="s">
        <v>381</v>
      </c>
      <c r="Z94" s="7">
        <v>3.6999999999999998E-2</v>
      </c>
      <c r="AA94" s="99">
        <v>471000000000</v>
      </c>
      <c r="AB94" s="96">
        <f t="shared" si="23"/>
        <v>0.40800911854103339</v>
      </c>
      <c r="AC94" s="88">
        <f t="shared" si="24"/>
        <v>-0.38933013081256795</v>
      </c>
    </row>
    <row r="95" spans="1:29">
      <c r="A95" s="2" t="s">
        <v>361</v>
      </c>
      <c r="B95" s="2" t="s">
        <v>384</v>
      </c>
      <c r="C95" s="18" t="s">
        <v>35</v>
      </c>
      <c r="D95" s="4" t="s">
        <v>335</v>
      </c>
      <c r="E95" s="2" t="s">
        <v>363</v>
      </c>
      <c r="F95" s="2" t="s">
        <v>37</v>
      </c>
      <c r="G95" s="2" t="s">
        <v>364</v>
      </c>
      <c r="H95" s="2">
        <v>48</v>
      </c>
      <c r="I95" s="125">
        <v>329000000000</v>
      </c>
      <c r="J95" s="2">
        <v>1</v>
      </c>
      <c r="K95" s="106">
        <v>45022</v>
      </c>
      <c r="L95" s="2" t="s">
        <v>63</v>
      </c>
      <c r="M95" s="17" t="s">
        <v>64</v>
      </c>
      <c r="N95" s="17" t="s">
        <v>65</v>
      </c>
      <c r="Q95" s="17">
        <v>0.28000000000000003</v>
      </c>
      <c r="R95" s="4" t="s">
        <v>369</v>
      </c>
      <c r="S95" s="2" t="s">
        <v>44</v>
      </c>
      <c r="T95" s="2" t="s">
        <v>365</v>
      </c>
      <c r="U95" s="2" t="s">
        <v>378</v>
      </c>
      <c r="V95" s="2">
        <v>0.05</v>
      </c>
      <c r="W95" s="7" t="s">
        <v>379</v>
      </c>
      <c r="X95" s="2" t="s">
        <v>385</v>
      </c>
      <c r="Y95" s="2" t="s">
        <v>381</v>
      </c>
      <c r="Z95" s="7">
        <v>0.36399999999999999</v>
      </c>
      <c r="AA95" s="99">
        <v>536000000000</v>
      </c>
      <c r="AB95" s="96">
        <f t="shared" si="23"/>
        <v>0.46431610942249241</v>
      </c>
      <c r="AC95" s="88">
        <f t="shared" si="24"/>
        <v>-0.33318624824869408</v>
      </c>
    </row>
    <row r="96" spans="1:29">
      <c r="A96" s="2" t="s">
        <v>361</v>
      </c>
      <c r="B96" s="2" t="s">
        <v>386</v>
      </c>
      <c r="C96" s="18" t="s">
        <v>35</v>
      </c>
      <c r="D96" s="4" t="s">
        <v>335</v>
      </c>
      <c r="E96" s="2" t="s">
        <v>363</v>
      </c>
      <c r="F96" s="2" t="s">
        <v>37</v>
      </c>
      <c r="G96" s="2" t="s">
        <v>364</v>
      </c>
      <c r="H96" s="2">
        <v>48</v>
      </c>
      <c r="I96" s="125">
        <v>329000000000</v>
      </c>
      <c r="J96" s="2">
        <v>1</v>
      </c>
      <c r="K96" s="106">
        <v>45022</v>
      </c>
      <c r="L96" s="2" t="s">
        <v>63</v>
      </c>
      <c r="M96" s="17" t="s">
        <v>64</v>
      </c>
      <c r="N96" s="17" t="s">
        <v>65</v>
      </c>
      <c r="Q96" s="17">
        <v>0.28000000000000003</v>
      </c>
      <c r="R96" s="4" t="s">
        <v>369</v>
      </c>
      <c r="S96" s="2" t="s">
        <v>44</v>
      </c>
      <c r="T96" s="2" t="s">
        <v>365</v>
      </c>
      <c r="U96" s="2" t="s">
        <v>378</v>
      </c>
      <c r="V96" s="2">
        <v>0.05</v>
      </c>
      <c r="W96" s="7" t="s">
        <v>379</v>
      </c>
      <c r="X96" s="2" t="s">
        <v>385</v>
      </c>
      <c r="Y96" s="2" t="s">
        <v>381</v>
      </c>
      <c r="Z96" s="7">
        <v>0.34499999999999997</v>
      </c>
      <c r="AA96" s="99">
        <v>338000000000</v>
      </c>
      <c r="AB96" s="96">
        <f t="shared" si="23"/>
        <v>0.29279635258358661</v>
      </c>
      <c r="AC96" s="88">
        <f t="shared" si="24"/>
        <v>-0.53343433766380943</v>
      </c>
    </row>
    <row r="97" spans="1:35">
      <c r="A97" s="2" t="s">
        <v>361</v>
      </c>
      <c r="B97" s="2" t="s">
        <v>387</v>
      </c>
      <c r="C97" s="18" t="s">
        <v>35</v>
      </c>
      <c r="D97" s="4" t="s">
        <v>335</v>
      </c>
      <c r="E97" s="2" t="s">
        <v>363</v>
      </c>
      <c r="F97" s="2" t="s">
        <v>37</v>
      </c>
      <c r="G97" s="2" t="s">
        <v>364</v>
      </c>
      <c r="H97" s="2">
        <v>48</v>
      </c>
      <c r="I97" s="125">
        <v>329000000000</v>
      </c>
      <c r="J97" s="2">
        <v>1</v>
      </c>
      <c r="K97" s="106">
        <v>45022</v>
      </c>
      <c r="L97" s="2" t="s">
        <v>63</v>
      </c>
      <c r="M97" s="17" t="s">
        <v>64</v>
      </c>
      <c r="N97" s="17" t="s">
        <v>65</v>
      </c>
      <c r="Q97" s="17">
        <v>0.28000000000000003</v>
      </c>
      <c r="R97" s="4" t="s">
        <v>369</v>
      </c>
      <c r="S97" s="2" t="s">
        <v>44</v>
      </c>
      <c r="T97" s="2" t="s">
        <v>365</v>
      </c>
      <c r="U97" s="2" t="s">
        <v>378</v>
      </c>
      <c r="V97" s="2">
        <v>0.05</v>
      </c>
      <c r="W97" s="7" t="s">
        <v>379</v>
      </c>
      <c r="X97" s="2" t="s">
        <v>385</v>
      </c>
      <c r="Y97" s="2" t="s">
        <v>381</v>
      </c>
      <c r="Z97" s="7">
        <v>0.34300000000000003</v>
      </c>
      <c r="AA97" s="99">
        <v>559000000000</v>
      </c>
      <c r="AB97" s="96">
        <f t="shared" si="23"/>
        <v>0.48424012158054713</v>
      </c>
      <c r="AC97" s="88">
        <f t="shared" si="24"/>
        <v>-0.31493923005504076</v>
      </c>
    </row>
    <row r="98" spans="1:35">
      <c r="A98" s="2" t="s">
        <v>388</v>
      </c>
      <c r="B98" s="2" t="s">
        <v>389</v>
      </c>
      <c r="C98" s="18" t="s">
        <v>61</v>
      </c>
      <c r="D98" s="4" t="s">
        <v>335</v>
      </c>
      <c r="E98" s="2" t="s">
        <v>390</v>
      </c>
      <c r="F98" s="2" t="s">
        <v>37</v>
      </c>
      <c r="G98" s="2" t="s">
        <v>303</v>
      </c>
      <c r="H98" s="2">
        <v>48</v>
      </c>
      <c r="I98" s="125">
        <v>172000000000</v>
      </c>
      <c r="J98" s="2">
        <v>0</v>
      </c>
      <c r="K98" s="106">
        <v>45021</v>
      </c>
      <c r="L98" s="2" t="s">
        <v>63</v>
      </c>
      <c r="M98" s="17" t="s">
        <v>64</v>
      </c>
      <c r="N98" s="17" t="s">
        <v>65</v>
      </c>
      <c r="Q98" s="17">
        <v>0.28000000000000003</v>
      </c>
      <c r="R98" s="4" t="s">
        <v>391</v>
      </c>
      <c r="S98" s="2" t="s">
        <v>392</v>
      </c>
      <c r="T98" s="2">
        <v>470</v>
      </c>
      <c r="U98" s="2" t="s">
        <v>393</v>
      </c>
      <c r="V98" s="2">
        <v>3.5000000000000003E-2</v>
      </c>
      <c r="W98" s="7" t="s">
        <v>379</v>
      </c>
      <c r="X98" s="2" t="s">
        <v>394</v>
      </c>
      <c r="Y98" s="2" t="s">
        <v>381</v>
      </c>
      <c r="Z98" s="7">
        <v>0.17</v>
      </c>
      <c r="AA98" s="99">
        <v>315000000000</v>
      </c>
      <c r="AB98" s="96">
        <f t="shared" ref="AB98" si="25">AA98*0.285/I98</f>
        <v>0.52194767441860457</v>
      </c>
      <c r="AC98" s="88">
        <f t="shared" ref="AC98" si="26">LOG10(AB98)</f>
        <v>-0.28237303310943829</v>
      </c>
    </row>
    <row r="99" spans="1:35">
      <c r="X99" s="126"/>
    </row>
    <row r="100" spans="1:35">
      <c r="X100" s="126"/>
    </row>
    <row r="101" spans="1:35">
      <c r="X101" s="127"/>
    </row>
    <row r="103" spans="1:35">
      <c r="AD103" s="3"/>
      <c r="AE103" s="3"/>
      <c r="AF103" s="3"/>
      <c r="AG103" s="1"/>
      <c r="AH103" s="1"/>
      <c r="AI103" s="1"/>
    </row>
    <row r="104" spans="1:35">
      <c r="AD104"/>
    </row>
    <row r="105" spans="1:35">
      <c r="AD105"/>
    </row>
    <row r="106" spans="1:35">
      <c r="AD106" s="3"/>
    </row>
    <row r="107" spans="1:35">
      <c r="A107" s="108"/>
      <c r="B107" s="108"/>
      <c r="AB107" s="105"/>
      <c r="AD107" s="3"/>
    </row>
    <row r="108" spans="1:35">
      <c r="A108" s="108"/>
      <c r="B108" s="108"/>
      <c r="AB108" s="105"/>
      <c r="AD108" s="3"/>
    </row>
    <row r="109" spans="1:35">
      <c r="A109" s="108"/>
      <c r="B109" s="108"/>
      <c r="AD109" s="1"/>
    </row>
    <row r="110" spans="1:35">
      <c r="A110" s="108"/>
      <c r="B110" s="108"/>
      <c r="AD110" s="1"/>
    </row>
    <row r="111" spans="1:35">
      <c r="A111" s="108"/>
      <c r="B111" s="108"/>
      <c r="AD111" s="1"/>
    </row>
    <row r="112" spans="1:35">
      <c r="A112" s="108"/>
      <c r="B112" s="108"/>
    </row>
    <row r="113" spans="1:2">
      <c r="A113" s="108"/>
      <c r="B113" s="108"/>
    </row>
    <row r="114" spans="1:2">
      <c r="A114" s="108"/>
      <c r="B114" s="108"/>
    </row>
    <row r="115" spans="1:2">
      <c r="A115" s="108"/>
      <c r="B115" s="108"/>
    </row>
    <row r="116" spans="1:2">
      <c r="A116" s="108"/>
      <c r="B116" s="108"/>
    </row>
  </sheetData>
  <autoFilter ref="A1:AF82" xr:uid="{7F528BE8-1FAD-4D6E-B95B-CFD867A721BD}"/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2EA0-B9E3-41A9-AE1A-E56EEB038F2F}">
  <sheetPr codeName="Sheet8"/>
  <dimension ref="A1:AH188"/>
  <sheetViews>
    <sheetView zoomScale="109"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E45" sqref="E45"/>
    </sheetView>
  </sheetViews>
  <sheetFormatPr baseColWidth="10" defaultColWidth="8.83203125" defaultRowHeight="15"/>
  <cols>
    <col min="1" max="1" width="16.33203125" bestFit="1" customWidth="1"/>
    <col min="2" max="2" width="19.5" style="2" bestFit="1" customWidth="1"/>
    <col min="3" max="3" width="27.1640625" style="2" customWidth="1"/>
    <col min="4" max="4" width="17.6640625" style="2" bestFit="1" customWidth="1"/>
    <col min="5" max="5" width="11.33203125" style="2" bestFit="1" customWidth="1"/>
    <col min="6" max="6" width="21.83203125" style="2" customWidth="1"/>
    <col min="7" max="7" width="16.1640625" style="2" customWidth="1"/>
    <col min="8" max="8" width="38.5" style="2" bestFit="1" customWidth="1"/>
    <col min="9" max="9" width="15.5" style="2" bestFit="1" customWidth="1"/>
    <col min="10" max="10" width="9.33203125" style="2" bestFit="1" customWidth="1"/>
    <col min="11" max="11" width="9.33203125" style="2" customWidth="1"/>
    <col min="12" max="12" width="38.6640625" style="2" customWidth="1"/>
    <col min="13" max="13" width="11" style="2" hidden="1" customWidth="1"/>
    <col min="14" max="14" width="16.5" style="2" hidden="1" customWidth="1"/>
    <col min="15" max="15" width="12.5" style="2" bestFit="1" customWidth="1"/>
    <col min="16" max="16" width="12.5" style="3" customWidth="1"/>
    <col min="17" max="18" width="12.5" style="3" bestFit="1" customWidth="1"/>
    <col min="19" max="19" width="17" style="3" bestFit="1" customWidth="1"/>
    <col min="20" max="20" width="18.83203125" style="75" bestFit="1" customWidth="1"/>
    <col min="21" max="21" width="17.5" style="2" bestFit="1" customWidth="1"/>
    <col min="22" max="22" width="17.5" customWidth="1"/>
    <col min="23" max="24" width="27.83203125" bestFit="1" customWidth="1"/>
    <col min="25" max="25" width="18.83203125" style="37" customWidth="1"/>
    <col min="26" max="26" width="10.1640625" style="13" bestFit="1" customWidth="1"/>
    <col min="27" max="27" width="10.1640625" style="13" customWidth="1"/>
    <col min="28" max="29" width="10.1640625" style="2" bestFit="1" customWidth="1"/>
    <col min="30" max="30" width="11.1640625" style="2" bestFit="1" customWidth="1"/>
    <col min="31" max="34" width="9.1640625" style="2"/>
  </cols>
  <sheetData>
    <row r="1" spans="1:34" s="6" customFormat="1">
      <c r="A1" s="6" t="s">
        <v>395</v>
      </c>
      <c r="B1" s="11" t="s">
        <v>1</v>
      </c>
      <c r="C1" s="11" t="s">
        <v>2</v>
      </c>
      <c r="D1" s="11" t="s">
        <v>3</v>
      </c>
      <c r="E1" s="11" t="s">
        <v>396</v>
      </c>
      <c r="F1" s="11" t="s">
        <v>397</v>
      </c>
      <c r="G1" s="11" t="s">
        <v>398</v>
      </c>
      <c r="H1" s="11" t="s">
        <v>399</v>
      </c>
      <c r="I1" s="11" t="s">
        <v>400</v>
      </c>
      <c r="J1" s="11" t="s">
        <v>401</v>
      </c>
      <c r="K1" s="11" t="s">
        <v>402</v>
      </c>
      <c r="L1" s="11" t="s">
        <v>403</v>
      </c>
      <c r="M1" s="11" t="s">
        <v>404</v>
      </c>
      <c r="N1" s="11" t="s">
        <v>405</v>
      </c>
      <c r="O1" s="11" t="s">
        <v>406</v>
      </c>
      <c r="P1" s="22" t="s">
        <v>407</v>
      </c>
      <c r="Q1" s="22" t="s">
        <v>408</v>
      </c>
      <c r="R1" s="22" t="s">
        <v>409</v>
      </c>
      <c r="S1" s="22" t="s">
        <v>410</v>
      </c>
      <c r="T1" s="74" t="s">
        <v>411</v>
      </c>
      <c r="U1" s="15" t="s">
        <v>412</v>
      </c>
      <c r="V1" s="24" t="s">
        <v>413</v>
      </c>
      <c r="W1" s="24" t="s">
        <v>414</v>
      </c>
      <c r="X1" s="24" t="s">
        <v>415</v>
      </c>
      <c r="Y1" s="36" t="s">
        <v>416</v>
      </c>
      <c r="Z1" s="12" t="s">
        <v>417</v>
      </c>
      <c r="AA1" s="11" t="s">
        <v>418</v>
      </c>
      <c r="AB1" s="11" t="s">
        <v>419</v>
      </c>
      <c r="AC1" s="11" t="s">
        <v>420</v>
      </c>
      <c r="AD1" s="11" t="s">
        <v>421</v>
      </c>
      <c r="AE1" s="11"/>
      <c r="AF1" s="11"/>
      <c r="AG1" s="11"/>
      <c r="AH1" s="11"/>
    </row>
    <row r="2" spans="1:34">
      <c r="A2">
        <v>1</v>
      </c>
      <c r="B2" s="2" t="s">
        <v>422</v>
      </c>
      <c r="C2" s="2" t="s">
        <v>423</v>
      </c>
      <c r="D2" s="9" t="s">
        <v>35</v>
      </c>
      <c r="E2" s="25" t="s">
        <v>424</v>
      </c>
      <c r="F2" s="2" t="s">
        <v>425</v>
      </c>
      <c r="G2" s="2" t="s">
        <v>426</v>
      </c>
      <c r="H2" s="2" t="s">
        <v>427</v>
      </c>
      <c r="I2" s="2">
        <v>21</v>
      </c>
      <c r="J2" s="2" t="s">
        <v>428</v>
      </c>
      <c r="K2" s="2" t="s">
        <v>424</v>
      </c>
      <c r="L2" s="2" t="s">
        <v>50</v>
      </c>
      <c r="M2" s="2">
        <v>8</v>
      </c>
      <c r="N2" s="2" t="s">
        <v>429</v>
      </c>
      <c r="O2" s="10">
        <v>405333333333.33331</v>
      </c>
      <c r="P2" s="10"/>
      <c r="Q2" s="3">
        <v>258400000000</v>
      </c>
      <c r="R2" s="3">
        <v>149000000000</v>
      </c>
      <c r="T2">
        <v>-7.7611794965139281E-3</v>
      </c>
      <c r="U2">
        <v>0.99665884702325547</v>
      </c>
      <c r="V2">
        <v>8.8074611439786538E-4</v>
      </c>
      <c r="W2">
        <v>-8.6419256109117933E-3</v>
      </c>
      <c r="X2">
        <v>-6.8804333821160628E-3</v>
      </c>
      <c r="Y2" s="1">
        <f t="shared" ref="Y2:Y33" si="0">(LOG(20000000000)-LOG(O2))/T2</f>
        <v>168.37419172434255</v>
      </c>
      <c r="Z2" s="13">
        <v>0.16500000000000001</v>
      </c>
      <c r="AB2" s="2">
        <v>0.17499999999999999</v>
      </c>
      <c r="AC2" s="2">
        <v>0.20499999999999999</v>
      </c>
    </row>
    <row r="3" spans="1:34">
      <c r="A3">
        <v>2</v>
      </c>
      <c r="B3" s="2" t="s">
        <v>422</v>
      </c>
      <c r="C3" s="2" t="s">
        <v>423</v>
      </c>
      <c r="D3" s="9" t="s">
        <v>35</v>
      </c>
      <c r="E3" s="25" t="s">
        <v>424</v>
      </c>
      <c r="F3" s="2" t="s">
        <v>430</v>
      </c>
      <c r="G3" s="2" t="s">
        <v>426</v>
      </c>
      <c r="H3" s="2" t="s">
        <v>427</v>
      </c>
      <c r="I3" s="2">
        <v>21</v>
      </c>
      <c r="J3" s="2" t="s">
        <v>428</v>
      </c>
      <c r="K3" s="2" t="s">
        <v>424</v>
      </c>
      <c r="L3" s="2" t="s">
        <v>431</v>
      </c>
      <c r="M3" s="2">
        <v>8</v>
      </c>
      <c r="N3" s="2" t="s">
        <v>429</v>
      </c>
      <c r="O3" s="3">
        <v>405333333333.33331</v>
      </c>
      <c r="Q3" s="3">
        <v>269800000000</v>
      </c>
      <c r="R3" s="3">
        <v>95000000000</v>
      </c>
      <c r="T3">
        <v>-1.1251584195146545E-2</v>
      </c>
      <c r="U3">
        <v>0.9396623876308613</v>
      </c>
      <c r="V3">
        <v>5.5881737887408991E-3</v>
      </c>
      <c r="W3">
        <v>-1.6839757983887444E-2</v>
      </c>
      <c r="X3">
        <v>-5.6634104064056459E-3</v>
      </c>
      <c r="Y3" s="1">
        <f t="shared" si="0"/>
        <v>116.14207403049633</v>
      </c>
      <c r="Z3" s="13">
        <v>0.16500000000000001</v>
      </c>
      <c r="AB3" s="2">
        <v>0.125</v>
      </c>
      <c r="AC3" s="2">
        <v>0.153</v>
      </c>
    </row>
    <row r="4" spans="1:34">
      <c r="A4">
        <v>3</v>
      </c>
      <c r="B4" s="2" t="s">
        <v>422</v>
      </c>
      <c r="C4" s="2" t="s">
        <v>423</v>
      </c>
      <c r="D4" s="9" t="s">
        <v>35</v>
      </c>
      <c r="E4" s="25" t="s">
        <v>424</v>
      </c>
      <c r="F4" s="2" t="s">
        <v>432</v>
      </c>
      <c r="G4" s="2" t="s">
        <v>426</v>
      </c>
      <c r="H4" s="2" t="s">
        <v>433</v>
      </c>
      <c r="I4" s="2">
        <v>21</v>
      </c>
      <c r="J4" s="2" t="s">
        <v>428</v>
      </c>
      <c r="K4" s="2" t="s">
        <v>424</v>
      </c>
      <c r="L4" s="2" t="s">
        <v>434</v>
      </c>
      <c r="M4" s="2">
        <v>8</v>
      </c>
      <c r="N4" s="2" t="s">
        <v>429</v>
      </c>
      <c r="O4" s="3">
        <v>400266666666.66663</v>
      </c>
      <c r="Q4" s="3">
        <v>177460000000</v>
      </c>
      <c r="R4" s="3">
        <v>56240000000</v>
      </c>
      <c r="T4">
        <v>-1.5219716294710462E-2</v>
      </c>
      <c r="U4">
        <v>0.9903389236287482</v>
      </c>
      <c r="V4">
        <v>2.9462899293870881E-3</v>
      </c>
      <c r="W4">
        <v>-1.8166006224097551E-2</v>
      </c>
      <c r="X4">
        <v>-1.2273426365323374E-2</v>
      </c>
      <c r="Y4" s="1">
        <f t="shared" si="0"/>
        <v>85.502213290522235</v>
      </c>
      <c r="Z4" s="13">
        <v>0.28899999999999998</v>
      </c>
      <c r="AB4" s="2">
        <v>0.23</v>
      </c>
      <c r="AC4" s="2">
        <v>0.26800000000000002</v>
      </c>
    </row>
    <row r="5" spans="1:34">
      <c r="A5">
        <v>4</v>
      </c>
      <c r="B5" s="2" t="s">
        <v>422</v>
      </c>
      <c r="C5" s="2" t="s">
        <v>423</v>
      </c>
      <c r="D5" s="9" t="s">
        <v>35</v>
      </c>
      <c r="E5" s="25" t="s">
        <v>424</v>
      </c>
      <c r="F5" s="2" t="s">
        <v>435</v>
      </c>
      <c r="G5" s="2" t="s">
        <v>426</v>
      </c>
      <c r="H5" s="2" t="s">
        <v>436</v>
      </c>
      <c r="I5" s="2">
        <v>21</v>
      </c>
      <c r="J5" s="2" t="s">
        <v>428</v>
      </c>
      <c r="K5" s="2" t="s">
        <v>424</v>
      </c>
      <c r="L5" s="2" t="s">
        <v>434</v>
      </c>
      <c r="M5" s="2">
        <v>8</v>
      </c>
      <c r="N5" s="2" t="s">
        <v>429</v>
      </c>
      <c r="O5" s="3">
        <v>185693333333.33331</v>
      </c>
      <c r="Q5" s="3">
        <v>101460000000</v>
      </c>
      <c r="R5" s="3">
        <v>45220000000</v>
      </c>
      <c r="T5">
        <v>-1.0954745610587785E-2</v>
      </c>
      <c r="U5">
        <v>0.99311633015118417</v>
      </c>
      <c r="V5">
        <v>1.7875588258537353E-3</v>
      </c>
      <c r="W5">
        <v>-1.2742304436441521E-2</v>
      </c>
      <c r="X5">
        <v>-9.1671867847340494E-3</v>
      </c>
      <c r="Y5" s="1">
        <f t="shared" si="0"/>
        <v>88.342198982962003</v>
      </c>
      <c r="Z5" s="13">
        <v>0.224</v>
      </c>
      <c r="AB5" s="2">
        <v>0.17399999999999999</v>
      </c>
      <c r="AC5" s="2">
        <v>0.221</v>
      </c>
    </row>
    <row r="6" spans="1:34">
      <c r="A6">
        <v>5</v>
      </c>
      <c r="B6" s="2" t="s">
        <v>422</v>
      </c>
      <c r="C6" s="2" t="s">
        <v>423</v>
      </c>
      <c r="D6" s="9" t="s">
        <v>35</v>
      </c>
      <c r="E6" s="25" t="s">
        <v>424</v>
      </c>
      <c r="F6" s="2" t="s">
        <v>437</v>
      </c>
      <c r="G6" s="2" t="s">
        <v>426</v>
      </c>
      <c r="H6" s="2" t="s">
        <v>438</v>
      </c>
      <c r="I6" s="2">
        <v>21</v>
      </c>
      <c r="J6" s="2" t="s">
        <v>428</v>
      </c>
      <c r="K6" s="2" t="s">
        <v>424</v>
      </c>
      <c r="L6" s="2" t="s">
        <v>434</v>
      </c>
      <c r="M6" s="2">
        <v>8</v>
      </c>
      <c r="N6" s="2" t="s">
        <v>429</v>
      </c>
      <c r="O6" s="3">
        <v>238133333333.33331</v>
      </c>
      <c r="Q6" s="3">
        <v>99180000000</v>
      </c>
      <c r="R6" s="3">
        <v>36480000000</v>
      </c>
      <c r="T6">
        <v>-1.454938145543659E-2</v>
      </c>
      <c r="U6">
        <v>0.99853938768367445</v>
      </c>
      <c r="V6">
        <v>1.0906301524470469E-3</v>
      </c>
      <c r="W6">
        <v>-1.5640011607883638E-2</v>
      </c>
      <c r="X6">
        <v>-1.3458751302989543E-2</v>
      </c>
      <c r="Y6" s="1">
        <f t="shared" si="0"/>
        <v>73.940613818662513</v>
      </c>
      <c r="Z6" s="13">
        <v>0.22900000000000001</v>
      </c>
      <c r="AB6" s="2">
        <v>0.21</v>
      </c>
      <c r="AC6" s="2">
        <v>0.25700000000000001</v>
      </c>
    </row>
    <row r="7" spans="1:34">
      <c r="A7">
        <v>6</v>
      </c>
      <c r="B7" s="2" t="s">
        <v>422</v>
      </c>
      <c r="C7" s="2" t="s">
        <v>423</v>
      </c>
      <c r="D7" s="9" t="s">
        <v>35</v>
      </c>
      <c r="E7" s="25" t="s">
        <v>424</v>
      </c>
      <c r="F7" s="2" t="s">
        <v>439</v>
      </c>
      <c r="G7" s="2" t="s">
        <v>426</v>
      </c>
      <c r="H7" s="2" t="s">
        <v>440</v>
      </c>
      <c r="I7" s="2">
        <v>21</v>
      </c>
      <c r="J7" s="2" t="s">
        <v>428</v>
      </c>
      <c r="K7" s="2" t="s">
        <v>424</v>
      </c>
      <c r="L7" s="2" t="s">
        <v>434</v>
      </c>
      <c r="M7" s="2">
        <v>8</v>
      </c>
      <c r="N7" s="2" t="s">
        <v>429</v>
      </c>
      <c r="O7" s="3">
        <v>238133333333.33331</v>
      </c>
      <c r="Q7" s="3">
        <v>106400000000</v>
      </c>
      <c r="R7" s="3">
        <v>39520000000</v>
      </c>
      <c r="T7">
        <v>-1.3928629557950663E-2</v>
      </c>
      <c r="U7">
        <v>0.99648435849877137</v>
      </c>
      <c r="V7">
        <v>1.6215245466435465E-3</v>
      </c>
      <c r="W7">
        <v>-1.5550154104594208E-2</v>
      </c>
      <c r="X7">
        <v>-1.2307105011307117E-2</v>
      </c>
      <c r="Y7" s="1">
        <f t="shared" si="0"/>
        <v>77.235896828254013</v>
      </c>
      <c r="Z7" s="13">
        <v>0.247</v>
      </c>
      <c r="AB7" s="2">
        <v>0.19700000000000001</v>
      </c>
      <c r="AC7" s="2">
        <v>0.246</v>
      </c>
    </row>
    <row r="8" spans="1:34">
      <c r="A8">
        <v>7</v>
      </c>
      <c r="B8" s="2" t="s">
        <v>422</v>
      </c>
      <c r="C8" s="2" t="s">
        <v>423</v>
      </c>
      <c r="D8" s="9" t="s">
        <v>35</v>
      </c>
      <c r="E8" s="25" t="s">
        <v>424</v>
      </c>
      <c r="F8" s="2" t="s">
        <v>441</v>
      </c>
      <c r="G8" s="2" t="s">
        <v>426</v>
      </c>
      <c r="H8" s="2" t="s">
        <v>442</v>
      </c>
      <c r="I8" s="2">
        <v>21</v>
      </c>
      <c r="J8" s="2" t="s">
        <v>428</v>
      </c>
      <c r="K8" s="2" t="s">
        <v>424</v>
      </c>
      <c r="L8" s="2" t="s">
        <v>434</v>
      </c>
      <c r="M8" s="2">
        <v>8</v>
      </c>
      <c r="N8" s="2" t="s">
        <v>429</v>
      </c>
      <c r="O8" s="3">
        <v>185693333333.33331</v>
      </c>
      <c r="Q8" s="3">
        <v>98040000000</v>
      </c>
      <c r="R8" s="3">
        <v>26980000000</v>
      </c>
      <c r="T8">
        <v>-1.4959899408328028E-2</v>
      </c>
      <c r="U8">
        <v>0.9633637216629376</v>
      </c>
      <c r="V8">
        <v>5.7179097386445875E-3</v>
      </c>
      <c r="W8">
        <v>-2.0677809146972616E-2</v>
      </c>
      <c r="X8">
        <v>-9.2419896696834397E-3</v>
      </c>
      <c r="Y8" s="1">
        <f t="shared" si="0"/>
        <v>64.690696783664848</v>
      </c>
      <c r="Z8" s="13">
        <v>0.254</v>
      </c>
      <c r="AB8" s="2">
        <v>0.224</v>
      </c>
      <c r="AC8" s="2">
        <v>0.26500000000000001</v>
      </c>
    </row>
    <row r="9" spans="1:34">
      <c r="A9">
        <v>8</v>
      </c>
      <c r="B9" s="2" t="s">
        <v>443</v>
      </c>
      <c r="C9" s="2" t="s">
        <v>444</v>
      </c>
      <c r="D9" s="9" t="s">
        <v>35</v>
      </c>
      <c r="E9" s="25" t="s">
        <v>424</v>
      </c>
      <c r="F9" s="2" t="s">
        <v>425</v>
      </c>
      <c r="G9" s="2" t="s">
        <v>426</v>
      </c>
      <c r="H9" s="2" t="s">
        <v>427</v>
      </c>
      <c r="I9" s="2">
        <v>21</v>
      </c>
      <c r="J9" s="2" t="s">
        <v>428</v>
      </c>
      <c r="K9" s="2" t="s">
        <v>424</v>
      </c>
      <c r="L9" s="2" t="s">
        <v>434</v>
      </c>
      <c r="M9" s="2">
        <v>8</v>
      </c>
      <c r="N9" s="2" t="s">
        <v>429</v>
      </c>
      <c r="O9" s="3">
        <v>710600000000</v>
      </c>
      <c r="Q9" s="3">
        <v>152000000000</v>
      </c>
      <c r="R9" s="3">
        <v>46740000000</v>
      </c>
      <c r="S9" s="3">
        <v>23475555555.555557</v>
      </c>
      <c r="T9">
        <v>-1.7697081618106632E-2</v>
      </c>
      <c r="U9">
        <v>0.97265887780570504</v>
      </c>
      <c r="V9">
        <v>4.1120902466532019E-3</v>
      </c>
      <c r="W9">
        <v>-2.1809171864759835E-2</v>
      </c>
      <c r="X9">
        <v>-1.358499137145343E-2</v>
      </c>
      <c r="Y9" s="1">
        <f t="shared" si="0"/>
        <v>87.618695610402156</v>
      </c>
      <c r="Z9">
        <v>0.217</v>
      </c>
      <c r="AA9"/>
      <c r="AB9" s="2">
        <v>0.27200000000000002</v>
      </c>
      <c r="AC9">
        <v>0.21299999999999999</v>
      </c>
      <c r="AD9" s="2">
        <v>0.254</v>
      </c>
    </row>
    <row r="10" spans="1:34">
      <c r="A10">
        <v>9</v>
      </c>
      <c r="B10" s="2" t="s">
        <v>443</v>
      </c>
      <c r="C10" s="2" t="s">
        <v>444</v>
      </c>
      <c r="D10" s="9" t="s">
        <v>35</v>
      </c>
      <c r="E10" s="25" t="s">
        <v>424</v>
      </c>
      <c r="F10" s="2" t="s">
        <v>430</v>
      </c>
      <c r="G10" s="2" t="s">
        <v>426</v>
      </c>
      <c r="H10" s="2" t="s">
        <v>427</v>
      </c>
      <c r="I10" s="2">
        <v>21</v>
      </c>
      <c r="J10" s="2" t="s">
        <v>428</v>
      </c>
      <c r="K10" s="2" t="s">
        <v>424</v>
      </c>
      <c r="L10" s="2" t="s">
        <v>431</v>
      </c>
      <c r="M10" s="2">
        <v>8</v>
      </c>
      <c r="N10" s="2" t="s">
        <v>429</v>
      </c>
      <c r="O10" s="3">
        <v>710600000000</v>
      </c>
      <c r="Q10" s="3">
        <v>170620000000</v>
      </c>
      <c r="R10" s="3">
        <v>66880000000</v>
      </c>
      <c r="S10" s="3">
        <v>62488888888.888893</v>
      </c>
      <c r="T10">
        <v>-1.2765003124756331E-2</v>
      </c>
      <c r="U10">
        <v>0.87842143837394582</v>
      </c>
      <c r="V10">
        <v>6.5815935082165402E-3</v>
      </c>
      <c r="W10">
        <v>-1.9346596632972869E-2</v>
      </c>
      <c r="X10">
        <v>-6.1834096165397905E-3</v>
      </c>
      <c r="Y10" s="1">
        <f t="shared" si="0"/>
        <v>121.47237194812104</v>
      </c>
      <c r="Z10">
        <v>0.217</v>
      </c>
      <c r="AA10"/>
      <c r="AB10" s="2">
        <v>0.186</v>
      </c>
      <c r="AC10">
        <v>0.155</v>
      </c>
      <c r="AD10" s="2">
        <v>0.19800000000000001</v>
      </c>
    </row>
    <row r="11" spans="1:34">
      <c r="A11">
        <v>10</v>
      </c>
      <c r="B11" s="2" t="s">
        <v>443</v>
      </c>
      <c r="C11" s="2" t="s">
        <v>444</v>
      </c>
      <c r="D11" s="9" t="s">
        <v>35</v>
      </c>
      <c r="E11" s="25" t="s">
        <v>424</v>
      </c>
      <c r="F11" s="2" t="s">
        <v>445</v>
      </c>
      <c r="G11" s="2" t="s">
        <v>426</v>
      </c>
      <c r="H11" s="2" t="s">
        <v>427</v>
      </c>
      <c r="I11" s="2">
        <v>4</v>
      </c>
      <c r="J11" s="2" t="s">
        <v>428</v>
      </c>
      <c r="K11" s="2" t="s">
        <v>424</v>
      </c>
      <c r="L11" s="2" t="s">
        <v>434</v>
      </c>
      <c r="M11" s="2">
        <v>8</v>
      </c>
      <c r="N11" s="2" t="s">
        <v>446</v>
      </c>
      <c r="O11" s="3">
        <v>710600000000</v>
      </c>
      <c r="Q11" s="3">
        <v>258400000000</v>
      </c>
      <c r="R11" s="3">
        <v>323000000000</v>
      </c>
      <c r="S11" s="3">
        <v>396888888888.88898</v>
      </c>
      <c r="T11">
        <v>-2.3641384790011226E-3</v>
      </c>
      <c r="U11">
        <v>0.20553681080785532</v>
      </c>
      <c r="V11">
        <v>6.4416642917089206E-3</v>
      </c>
      <c r="W11">
        <v>-8.8058027707100424E-3</v>
      </c>
      <c r="X11">
        <v>4.077525812707798E-3</v>
      </c>
      <c r="Y11" s="1">
        <f t="shared" si="0"/>
        <v>655.881718123582</v>
      </c>
      <c r="Z11">
        <v>0.217</v>
      </c>
      <c r="AA11"/>
      <c r="AB11" s="2" t="s">
        <v>49</v>
      </c>
      <c r="AC11" t="s">
        <v>49</v>
      </c>
      <c r="AD11" s="2" t="s">
        <v>49</v>
      </c>
    </row>
    <row r="12" spans="1:34">
      <c r="A12">
        <v>11</v>
      </c>
      <c r="B12" s="2" t="s">
        <v>443</v>
      </c>
      <c r="C12" s="2" t="s">
        <v>444</v>
      </c>
      <c r="D12" s="9" t="s">
        <v>35</v>
      </c>
      <c r="E12" s="25" t="s">
        <v>424</v>
      </c>
      <c r="F12" s="2" t="s">
        <v>441</v>
      </c>
      <c r="G12" s="2" t="s">
        <v>426</v>
      </c>
      <c r="H12" s="2" t="s">
        <v>442</v>
      </c>
      <c r="I12" s="2">
        <v>21</v>
      </c>
      <c r="J12" s="2" t="s">
        <v>428</v>
      </c>
      <c r="K12" s="2" t="s">
        <v>424</v>
      </c>
      <c r="L12" s="2" t="s">
        <v>434</v>
      </c>
      <c r="M12" s="2">
        <v>8</v>
      </c>
      <c r="N12" s="2" t="s">
        <v>429</v>
      </c>
      <c r="O12" s="3">
        <v>345800000000</v>
      </c>
      <c r="Q12" s="3">
        <v>58520000000</v>
      </c>
      <c r="R12" s="3">
        <v>30780000000</v>
      </c>
      <c r="S12" s="3">
        <v>14397777777.777781</v>
      </c>
      <c r="T12">
        <v>-1.5787943822362739E-2</v>
      </c>
      <c r="U12">
        <v>0.93897145543493798</v>
      </c>
      <c r="V12">
        <v>5.5782628816058505E-3</v>
      </c>
      <c r="W12">
        <v>-2.136620670396859E-2</v>
      </c>
      <c r="X12">
        <v>-1.0209680940756888E-2</v>
      </c>
      <c r="Y12" s="1">
        <f t="shared" si="0"/>
        <v>78.401279305330149</v>
      </c>
      <c r="Z12">
        <v>0.251</v>
      </c>
      <c r="AA12"/>
      <c r="AB12" s="2">
        <v>0.27900000000000003</v>
      </c>
      <c r="AC12">
        <v>0.21299999999999999</v>
      </c>
      <c r="AD12" s="2">
        <v>0.26700000000000002</v>
      </c>
    </row>
    <row r="13" spans="1:34">
      <c r="A13">
        <v>12</v>
      </c>
      <c r="B13" s="2" t="s">
        <v>447</v>
      </c>
      <c r="C13" s="2" t="s">
        <v>448</v>
      </c>
      <c r="D13" s="9" t="s">
        <v>35</v>
      </c>
      <c r="E13" s="25" t="s">
        <v>424</v>
      </c>
      <c r="F13" s="2" t="s">
        <v>425</v>
      </c>
      <c r="G13" s="2" t="s">
        <v>426</v>
      </c>
      <c r="H13" s="2" t="s">
        <v>427</v>
      </c>
      <c r="I13" s="2">
        <v>21</v>
      </c>
      <c r="J13" s="2" t="s">
        <v>428</v>
      </c>
      <c r="K13" s="2" t="s">
        <v>424</v>
      </c>
      <c r="L13" s="2" t="s">
        <v>434</v>
      </c>
      <c r="M13" s="2">
        <v>8</v>
      </c>
      <c r="N13" s="2" t="s">
        <v>429</v>
      </c>
      <c r="O13" s="3">
        <v>437000000000</v>
      </c>
      <c r="Q13" s="3">
        <v>61560000000</v>
      </c>
      <c r="R13" s="3">
        <v>9120000000</v>
      </c>
      <c r="S13" s="3">
        <v>7726666666.666667</v>
      </c>
      <c r="T13">
        <v>-2.1738469832209072E-2</v>
      </c>
      <c r="U13">
        <v>0.91196472797409089</v>
      </c>
      <c r="V13">
        <v>9.3605506722686874E-3</v>
      </c>
      <c r="W13">
        <v>-3.109902050447776E-2</v>
      </c>
      <c r="X13">
        <v>-1.2377919159940385E-2</v>
      </c>
      <c r="Y13" s="1">
        <f t="shared" si="0"/>
        <v>61.616638689160446</v>
      </c>
      <c r="Z13">
        <v>0.17599999999999999</v>
      </c>
      <c r="AA13"/>
      <c r="AB13" s="2">
        <v>0.23799999999999999</v>
      </c>
      <c r="AC13">
        <v>0.185</v>
      </c>
      <c r="AD13" s="2">
        <v>0.22700000000000001</v>
      </c>
    </row>
    <row r="14" spans="1:34">
      <c r="A14">
        <v>13</v>
      </c>
      <c r="B14" s="2" t="s">
        <v>447</v>
      </c>
      <c r="C14" s="2" t="s">
        <v>448</v>
      </c>
      <c r="D14" s="9" t="s">
        <v>35</v>
      </c>
      <c r="E14" s="25" t="s">
        <v>424</v>
      </c>
      <c r="F14" s="2" t="s">
        <v>430</v>
      </c>
      <c r="G14" s="2" t="s">
        <v>426</v>
      </c>
      <c r="H14" s="2" t="s">
        <v>427</v>
      </c>
      <c r="I14" s="2">
        <v>21</v>
      </c>
      <c r="J14" s="2" t="s">
        <v>428</v>
      </c>
      <c r="K14" s="2" t="s">
        <v>424</v>
      </c>
      <c r="L14" s="2" t="s">
        <v>431</v>
      </c>
      <c r="M14" s="2">
        <v>8</v>
      </c>
      <c r="N14" s="2" t="s">
        <v>429</v>
      </c>
      <c r="O14" s="3">
        <v>437000000000</v>
      </c>
      <c r="Q14" s="3">
        <v>85500000000</v>
      </c>
      <c r="R14" s="3">
        <v>28120000000</v>
      </c>
      <c r="S14" s="3">
        <v>12877777777.777779</v>
      </c>
      <c r="T14">
        <v>-1.8124544034710168E-2</v>
      </c>
      <c r="U14">
        <v>0.97395337973437834</v>
      </c>
      <c r="V14">
        <v>4.1077763258469081E-3</v>
      </c>
      <c r="W14">
        <v>-2.2232320360557077E-2</v>
      </c>
      <c r="X14">
        <v>-1.4016767708863259E-2</v>
      </c>
      <c r="Y14" s="1">
        <f t="shared" si="0"/>
        <v>73.902628322194914</v>
      </c>
      <c r="Z14">
        <v>0.17599999999999999</v>
      </c>
      <c r="AA14"/>
      <c r="AB14" s="2">
        <v>0.16500000000000001</v>
      </c>
      <c r="AC14" s="2">
        <v>0.11600000000000001</v>
      </c>
      <c r="AD14" s="2">
        <v>0.157</v>
      </c>
    </row>
    <row r="15" spans="1:34">
      <c r="A15">
        <v>14</v>
      </c>
      <c r="B15" s="2" t="s">
        <v>447</v>
      </c>
      <c r="C15" s="2" t="s">
        <v>448</v>
      </c>
      <c r="D15" s="9" t="s">
        <v>35</v>
      </c>
      <c r="E15" s="25" t="s">
        <v>424</v>
      </c>
      <c r="F15" s="2" t="s">
        <v>445</v>
      </c>
      <c r="G15" s="2" t="s">
        <v>426</v>
      </c>
      <c r="H15" s="2" t="s">
        <v>427</v>
      </c>
      <c r="I15" s="2">
        <v>4</v>
      </c>
      <c r="J15" s="2" t="s">
        <v>428</v>
      </c>
      <c r="K15" s="2" t="s">
        <v>424</v>
      </c>
      <c r="L15" s="2" t="s">
        <v>434</v>
      </c>
      <c r="M15" s="2">
        <v>8</v>
      </c>
      <c r="N15" s="2" t="s">
        <v>446</v>
      </c>
      <c r="O15" s="3">
        <v>437000000000</v>
      </c>
      <c r="Q15" s="3">
        <v>292600000000</v>
      </c>
      <c r="R15" s="3">
        <v>169480000000</v>
      </c>
      <c r="S15" s="3">
        <v>206044444444.44446</v>
      </c>
      <c r="T15">
        <v>-4.3454194636822112E-3</v>
      </c>
      <c r="U15">
        <v>0.75372284224570096</v>
      </c>
      <c r="V15">
        <v>3.4424768335173297E-3</v>
      </c>
      <c r="W15">
        <v>-7.7878962971995409E-3</v>
      </c>
      <c r="X15">
        <v>-9.0294263016488154E-4</v>
      </c>
      <c r="Y15" s="1">
        <f t="shared" si="0"/>
        <v>308.24445200312596</v>
      </c>
      <c r="Z15">
        <v>0.17599999999999999</v>
      </c>
      <c r="AA15"/>
      <c r="AB15" s="2" t="s">
        <v>49</v>
      </c>
      <c r="AC15" s="2" t="s">
        <v>49</v>
      </c>
      <c r="AD15" s="2" t="s">
        <v>49</v>
      </c>
    </row>
    <row r="16" spans="1:34">
      <c r="A16">
        <v>15</v>
      </c>
      <c r="B16" s="2" t="s">
        <v>447</v>
      </c>
      <c r="C16" s="2" t="s">
        <v>448</v>
      </c>
      <c r="D16" s="9" t="s">
        <v>35</v>
      </c>
      <c r="E16" s="25" t="s">
        <v>424</v>
      </c>
      <c r="F16" s="2" t="s">
        <v>441</v>
      </c>
      <c r="G16" s="2" t="s">
        <v>426</v>
      </c>
      <c r="H16" s="2" t="s">
        <v>442</v>
      </c>
      <c r="I16" s="2">
        <v>21</v>
      </c>
      <c r="J16" s="2" t="s">
        <v>428</v>
      </c>
      <c r="K16" s="2" t="s">
        <v>424</v>
      </c>
      <c r="L16" s="2" t="s">
        <v>434</v>
      </c>
      <c r="M16" s="2">
        <v>8</v>
      </c>
      <c r="N16" s="2" t="s">
        <v>429</v>
      </c>
      <c r="O16" s="3">
        <v>269800000000</v>
      </c>
      <c r="Q16" s="3">
        <v>26600000000</v>
      </c>
      <c r="R16" s="3">
        <v>7980000000</v>
      </c>
      <c r="S16" s="3">
        <v>3884444444.4444451</v>
      </c>
      <c r="T16">
        <v>-2.1600063706138796E-2</v>
      </c>
      <c r="U16">
        <v>0.93652501443426472</v>
      </c>
      <c r="V16">
        <v>7.7934497532076213E-3</v>
      </c>
      <c r="W16">
        <v>-2.9393513459346418E-2</v>
      </c>
      <c r="X16">
        <v>-1.3806613952931174E-2</v>
      </c>
      <c r="Y16" s="1">
        <f t="shared" si="0"/>
        <v>52.315213744057203</v>
      </c>
      <c r="Z16">
        <v>0.22600000000000001</v>
      </c>
      <c r="AA16"/>
      <c r="AB16" s="2">
        <v>0.27800000000000002</v>
      </c>
      <c r="AC16" s="2">
        <v>0.20399999999999999</v>
      </c>
      <c r="AD16" s="2">
        <v>0.24299999999999999</v>
      </c>
    </row>
    <row r="17" spans="1:30">
      <c r="A17">
        <v>16</v>
      </c>
      <c r="B17" s="2" t="s">
        <v>449</v>
      </c>
      <c r="C17" s="2" t="s">
        <v>450</v>
      </c>
      <c r="D17" s="8" t="s">
        <v>61</v>
      </c>
      <c r="E17" s="7" t="s">
        <v>63</v>
      </c>
      <c r="F17" s="2" t="s">
        <v>425</v>
      </c>
      <c r="G17" s="2" t="s">
        <v>105</v>
      </c>
      <c r="H17" s="2" t="s">
        <v>427</v>
      </c>
      <c r="I17" s="2">
        <v>21</v>
      </c>
      <c r="J17" s="2" t="s">
        <v>428</v>
      </c>
      <c r="K17" s="2" t="s">
        <v>424</v>
      </c>
      <c r="L17" s="2" t="s">
        <v>434</v>
      </c>
      <c r="M17" s="2">
        <v>8</v>
      </c>
      <c r="N17" s="2" t="s">
        <v>429</v>
      </c>
      <c r="O17" s="3">
        <v>288800000000</v>
      </c>
      <c r="Q17" s="3">
        <v>48640000000</v>
      </c>
      <c r="R17" s="3">
        <v>23180000000</v>
      </c>
      <c r="S17" s="3">
        <v>2457333333.333334</v>
      </c>
      <c r="T17">
        <v>-2.3329569592313488E-2</v>
      </c>
      <c r="U17">
        <v>0.96774972144048199</v>
      </c>
      <c r="V17">
        <v>5.9023509301848109E-3</v>
      </c>
      <c r="W17">
        <v>-2.92319205224983E-2</v>
      </c>
      <c r="X17">
        <v>-1.7427218662128676E-2</v>
      </c>
      <c r="Y17" s="1">
        <f t="shared" si="0"/>
        <v>49.70375422681046</v>
      </c>
      <c r="Z17">
        <v>0.34300000000000003</v>
      </c>
      <c r="AA17"/>
      <c r="AB17" s="2">
        <v>0.36699999999999999</v>
      </c>
      <c r="AC17">
        <v>0.34399999999999997</v>
      </c>
      <c r="AD17" s="2">
        <v>0.36</v>
      </c>
    </row>
    <row r="18" spans="1:30">
      <c r="A18">
        <v>17</v>
      </c>
      <c r="B18" s="2" t="s">
        <v>449</v>
      </c>
      <c r="C18" s="2" t="s">
        <v>450</v>
      </c>
      <c r="D18" s="8" t="s">
        <v>61</v>
      </c>
      <c r="E18" s="7" t="s">
        <v>63</v>
      </c>
      <c r="F18" s="2" t="s">
        <v>430</v>
      </c>
      <c r="G18" s="2" t="s">
        <v>105</v>
      </c>
      <c r="H18" s="2" t="s">
        <v>427</v>
      </c>
      <c r="I18" s="2">
        <v>21</v>
      </c>
      <c r="J18" s="2" t="s">
        <v>428</v>
      </c>
      <c r="K18" s="2" t="s">
        <v>424</v>
      </c>
      <c r="L18" s="2" t="s">
        <v>431</v>
      </c>
      <c r="M18" s="2">
        <v>8</v>
      </c>
      <c r="N18" s="2" t="s">
        <v>429</v>
      </c>
      <c r="O18" s="3">
        <v>288800000000</v>
      </c>
      <c r="Q18" s="3">
        <v>30020000000</v>
      </c>
      <c r="R18" s="3">
        <v>11020000000</v>
      </c>
      <c r="S18" s="3">
        <v>9626666666.6666679</v>
      </c>
      <c r="T18">
        <v>-1.7380688776965969E-2</v>
      </c>
      <c r="U18">
        <v>0.84625719576054037</v>
      </c>
      <c r="V18">
        <v>1.0267064446422971E-2</v>
      </c>
      <c r="W18">
        <v>-2.764775322338894E-2</v>
      </c>
      <c r="X18">
        <v>-7.1136243305429982E-3</v>
      </c>
      <c r="Y18" s="1">
        <f t="shared" si="0"/>
        <v>66.71583664568891</v>
      </c>
      <c r="Z18">
        <v>0.34300000000000003</v>
      </c>
      <c r="AA18"/>
      <c r="AB18" s="2">
        <v>0.30499999999999999</v>
      </c>
      <c r="AC18">
        <v>0.28699999999999998</v>
      </c>
      <c r="AD18" s="2">
        <v>0.308</v>
      </c>
    </row>
    <row r="19" spans="1:30">
      <c r="A19">
        <v>18</v>
      </c>
      <c r="B19" s="2" t="s">
        <v>449</v>
      </c>
      <c r="C19" s="2" t="s">
        <v>450</v>
      </c>
      <c r="D19" s="8" t="s">
        <v>61</v>
      </c>
      <c r="E19" s="7" t="s">
        <v>63</v>
      </c>
      <c r="F19" s="2" t="s">
        <v>445</v>
      </c>
      <c r="G19" s="2" t="s">
        <v>105</v>
      </c>
      <c r="H19" s="2" t="s">
        <v>427</v>
      </c>
      <c r="I19" s="2">
        <v>4</v>
      </c>
      <c r="J19" s="2" t="s">
        <v>428</v>
      </c>
      <c r="K19" s="2" t="s">
        <v>424</v>
      </c>
      <c r="L19" s="2" t="s">
        <v>434</v>
      </c>
      <c r="M19" s="2">
        <v>8</v>
      </c>
      <c r="N19" s="2" t="s">
        <v>446</v>
      </c>
      <c r="O19" s="3">
        <v>288800000000</v>
      </c>
      <c r="Q19" s="3">
        <v>268660000000</v>
      </c>
      <c r="R19" s="3">
        <v>148960000000</v>
      </c>
      <c r="S19" s="3">
        <v>131311111111.11113</v>
      </c>
      <c r="T19">
        <v>-4.5822160173438192E-3</v>
      </c>
      <c r="U19">
        <v>0.89931557311982679</v>
      </c>
      <c r="V19">
        <v>2.124876759045987E-3</v>
      </c>
      <c r="W19">
        <v>-6.7070927763898062E-3</v>
      </c>
      <c r="X19">
        <v>-2.4573392582978321E-3</v>
      </c>
      <c r="Y19" s="1">
        <f t="shared" si="0"/>
        <v>253.05816854653406</v>
      </c>
      <c r="Z19">
        <v>0.34300000000000003</v>
      </c>
      <c r="AA19"/>
      <c r="AB19" s="2" t="s">
        <v>49</v>
      </c>
      <c r="AC19" t="s">
        <v>49</v>
      </c>
      <c r="AD19" s="2" t="s">
        <v>49</v>
      </c>
    </row>
    <row r="20" spans="1:30">
      <c r="A20">
        <v>19</v>
      </c>
      <c r="B20" s="2" t="s">
        <v>449</v>
      </c>
      <c r="C20" s="2" t="s">
        <v>450</v>
      </c>
      <c r="D20" s="8" t="s">
        <v>61</v>
      </c>
      <c r="E20" s="7" t="s">
        <v>63</v>
      </c>
      <c r="F20" s="2" t="s">
        <v>441</v>
      </c>
      <c r="G20" s="2" t="s">
        <v>105</v>
      </c>
      <c r="H20" s="2" t="s">
        <v>442</v>
      </c>
      <c r="I20" s="2">
        <v>21</v>
      </c>
      <c r="J20" s="2" t="s">
        <v>428</v>
      </c>
      <c r="K20" s="2" t="s">
        <v>424</v>
      </c>
      <c r="L20" s="2" t="s">
        <v>434</v>
      </c>
      <c r="M20" s="2">
        <v>8</v>
      </c>
      <c r="N20" s="2" t="s">
        <v>429</v>
      </c>
      <c r="O20" s="3">
        <v>126540000000</v>
      </c>
      <c r="Q20" s="3">
        <v>12920000000</v>
      </c>
      <c r="R20" s="3">
        <v>4940000000</v>
      </c>
      <c r="S20" s="3">
        <v>2271555555.5555558</v>
      </c>
      <c r="T20">
        <v>-2.0197317737761355E-2</v>
      </c>
      <c r="U20">
        <v>0.9307626548892215</v>
      </c>
      <c r="V20">
        <v>7.6344458550939862E-3</v>
      </c>
      <c r="W20">
        <v>-2.783176359285534E-2</v>
      </c>
      <c r="X20">
        <v>-1.256287188266737E-2</v>
      </c>
      <c r="Y20" s="1">
        <f t="shared" si="0"/>
        <v>39.668526527223548</v>
      </c>
      <c r="Z20">
        <v>0.34799999999999998</v>
      </c>
      <c r="AA20"/>
      <c r="AB20" s="2">
        <v>0.31900000000000001</v>
      </c>
      <c r="AC20">
        <v>0.30499999999999999</v>
      </c>
      <c r="AD20" s="2">
        <v>0.32900000000000001</v>
      </c>
    </row>
    <row r="21" spans="1:30">
      <c r="A21">
        <v>20</v>
      </c>
      <c r="B21" s="2" t="s">
        <v>451</v>
      </c>
      <c r="C21" s="2" t="s">
        <v>452</v>
      </c>
      <c r="D21" s="8" t="s">
        <v>61</v>
      </c>
      <c r="E21" s="7" t="s">
        <v>63</v>
      </c>
      <c r="F21" s="2" t="s">
        <v>425</v>
      </c>
      <c r="G21" s="2" t="s">
        <v>105</v>
      </c>
      <c r="H21" s="2" t="s">
        <v>427</v>
      </c>
      <c r="I21" s="2">
        <v>21</v>
      </c>
      <c r="J21" s="2" t="s">
        <v>428</v>
      </c>
      <c r="K21" s="2" t="s">
        <v>424</v>
      </c>
      <c r="L21" s="2" t="s">
        <v>434</v>
      </c>
      <c r="M21" s="2">
        <v>8</v>
      </c>
      <c r="N21" s="2" t="s">
        <v>429</v>
      </c>
      <c r="O21" s="3">
        <v>220400000000</v>
      </c>
      <c r="Q21" s="3">
        <v>380000000</v>
      </c>
      <c r="R21" s="3">
        <v>418000000</v>
      </c>
      <c r="S21" s="3">
        <v>244888888.88888893</v>
      </c>
      <c r="T21">
        <v>-3.1504767296999109E-2</v>
      </c>
      <c r="U21">
        <v>0.65211801566442273</v>
      </c>
      <c r="V21">
        <v>3.189056689725938E-2</v>
      </c>
      <c r="W21">
        <v>-6.3395334194258496E-2</v>
      </c>
      <c r="X21">
        <v>3.8579960026027121E-4</v>
      </c>
      <c r="Y21" s="1">
        <f t="shared" si="0"/>
        <v>33.080123547366611</v>
      </c>
      <c r="Z21">
        <v>0.30599999999999999</v>
      </c>
      <c r="AA21"/>
      <c r="AB21" s="2">
        <v>0.33</v>
      </c>
      <c r="AC21">
        <v>0.308</v>
      </c>
      <c r="AD21" s="2">
        <v>0.32400000000000001</v>
      </c>
    </row>
    <row r="22" spans="1:30">
      <c r="A22">
        <v>21</v>
      </c>
      <c r="B22" s="2" t="s">
        <v>451</v>
      </c>
      <c r="C22" s="2" t="s">
        <v>452</v>
      </c>
      <c r="D22" s="8" t="s">
        <v>61</v>
      </c>
      <c r="E22" s="7" t="s">
        <v>63</v>
      </c>
      <c r="F22" s="2" t="s">
        <v>430</v>
      </c>
      <c r="G22" s="2" t="s">
        <v>105</v>
      </c>
      <c r="H22" s="2" t="s">
        <v>427</v>
      </c>
      <c r="I22" s="2">
        <v>21</v>
      </c>
      <c r="J22" s="2" t="s">
        <v>428</v>
      </c>
      <c r="K22" s="2" t="s">
        <v>424</v>
      </c>
      <c r="L22" s="2" t="s">
        <v>431</v>
      </c>
      <c r="M22" s="2">
        <v>8</v>
      </c>
      <c r="N22" s="2" t="s">
        <v>429</v>
      </c>
      <c r="O22" s="3">
        <v>220400000000</v>
      </c>
      <c r="Q22" s="3">
        <v>3420000000</v>
      </c>
      <c r="R22" s="3">
        <v>38000000</v>
      </c>
      <c r="S22" s="3">
        <v>333555555.55555558</v>
      </c>
      <c r="T22">
        <v>-3.7194188373481332E-2</v>
      </c>
      <c r="U22">
        <v>0.6970369745795626</v>
      </c>
      <c r="V22">
        <v>3.398404623877041E-2</v>
      </c>
      <c r="W22">
        <v>-7.1178234612251742E-2</v>
      </c>
      <c r="X22">
        <v>-3.2101421347109221E-3</v>
      </c>
      <c r="Y22" s="1">
        <f t="shared" si="0"/>
        <v>28.020011730080366</v>
      </c>
      <c r="Z22">
        <v>0.30599999999999999</v>
      </c>
      <c r="AA22"/>
      <c r="AB22" s="2">
        <v>0.27100000000000002</v>
      </c>
      <c r="AC22" s="2">
        <v>0.254</v>
      </c>
      <c r="AD22" s="2">
        <v>0.22700000000000001</v>
      </c>
    </row>
    <row r="23" spans="1:30">
      <c r="A23">
        <v>22</v>
      </c>
      <c r="B23" s="2" t="s">
        <v>451</v>
      </c>
      <c r="C23" s="2" t="s">
        <v>452</v>
      </c>
      <c r="D23" s="8" t="s">
        <v>61</v>
      </c>
      <c r="E23" s="7" t="s">
        <v>63</v>
      </c>
      <c r="F23" s="2" t="s">
        <v>445</v>
      </c>
      <c r="G23" s="2" t="s">
        <v>105</v>
      </c>
      <c r="H23" s="2" t="s">
        <v>427</v>
      </c>
      <c r="I23" s="2">
        <v>4</v>
      </c>
      <c r="J23" s="2" t="s">
        <v>428</v>
      </c>
      <c r="K23" s="2" t="s">
        <v>424</v>
      </c>
      <c r="L23" s="2" t="s">
        <v>434</v>
      </c>
      <c r="M23" s="2">
        <v>8</v>
      </c>
      <c r="N23" s="2" t="s">
        <v>446</v>
      </c>
      <c r="O23" s="3">
        <v>220400000000</v>
      </c>
      <c r="Q23" s="3">
        <v>137560000000</v>
      </c>
      <c r="R23" s="3">
        <v>85500000000</v>
      </c>
      <c r="S23" s="3">
        <v>86555555555.555557</v>
      </c>
      <c r="T23">
        <v>-5.0866999223618458E-3</v>
      </c>
      <c r="U23">
        <v>0.88397642797504461</v>
      </c>
      <c r="V23">
        <v>2.5540064237565279E-3</v>
      </c>
      <c r="W23">
        <v>-7.6407063461183741E-3</v>
      </c>
      <c r="X23">
        <v>-2.532693498605318E-3</v>
      </c>
      <c r="Y23" s="1">
        <f t="shared" si="0"/>
        <v>204.88363977088355</v>
      </c>
      <c r="Z23">
        <v>0.30599999999999999</v>
      </c>
      <c r="AA23"/>
      <c r="AB23" s="2" t="s">
        <v>49</v>
      </c>
      <c r="AC23" s="2" t="s">
        <v>49</v>
      </c>
      <c r="AD23" s="2" t="s">
        <v>49</v>
      </c>
    </row>
    <row r="24" spans="1:30">
      <c r="A24">
        <v>23</v>
      </c>
      <c r="B24" s="2" t="s">
        <v>451</v>
      </c>
      <c r="C24" s="2" t="s">
        <v>452</v>
      </c>
      <c r="D24" s="8" t="s">
        <v>61</v>
      </c>
      <c r="E24" s="7" t="s">
        <v>63</v>
      </c>
      <c r="F24" s="2" t="s">
        <v>441</v>
      </c>
      <c r="G24" s="2" t="s">
        <v>105</v>
      </c>
      <c r="H24" s="2" t="s">
        <v>442</v>
      </c>
      <c r="I24" s="2">
        <v>21</v>
      </c>
      <c r="J24" s="2" t="s">
        <v>428</v>
      </c>
      <c r="K24" s="2" t="s">
        <v>424</v>
      </c>
      <c r="L24" s="2" t="s">
        <v>434</v>
      </c>
      <c r="M24" s="2">
        <v>8</v>
      </c>
      <c r="N24" s="2" t="s">
        <v>429</v>
      </c>
      <c r="O24" s="3">
        <v>106780000000</v>
      </c>
      <c r="Q24" s="3">
        <v>380000000</v>
      </c>
      <c r="R24" s="3">
        <v>494000000</v>
      </c>
      <c r="S24" s="3">
        <v>130888888.88888891</v>
      </c>
      <c r="T24">
        <v>-3.0788635907941262E-2</v>
      </c>
      <c r="U24">
        <v>0.72560407830335072</v>
      </c>
      <c r="V24">
        <v>2.6239920183835495E-2</v>
      </c>
      <c r="W24">
        <v>-5.7028556091776761E-2</v>
      </c>
      <c r="X24">
        <v>-4.5487157241057667E-3</v>
      </c>
      <c r="Y24" s="1">
        <f t="shared" si="0"/>
        <v>23.627546313939689</v>
      </c>
      <c r="Z24">
        <v>0.315</v>
      </c>
      <c r="AA24"/>
      <c r="AB24" s="2">
        <v>0.307</v>
      </c>
      <c r="AC24" s="2">
        <v>0.27100000000000002</v>
      </c>
      <c r="AD24" s="2">
        <v>0.30099999999999999</v>
      </c>
    </row>
    <row r="25" spans="1:30">
      <c r="A25">
        <v>24</v>
      </c>
      <c r="B25" s="7" t="s">
        <v>52</v>
      </c>
      <c r="C25" s="7" t="s">
        <v>53</v>
      </c>
      <c r="D25" s="8" t="s">
        <v>35</v>
      </c>
      <c r="E25" s="7" t="s">
        <v>54</v>
      </c>
      <c r="F25" s="2" t="s">
        <v>445</v>
      </c>
      <c r="G25" s="17" t="s">
        <v>453</v>
      </c>
      <c r="H25" s="2" t="s">
        <v>427</v>
      </c>
      <c r="I25" s="2">
        <v>4</v>
      </c>
      <c r="J25" s="2" t="s">
        <v>428</v>
      </c>
      <c r="K25" s="2" t="s">
        <v>424</v>
      </c>
      <c r="L25" s="2" t="s">
        <v>434</v>
      </c>
      <c r="M25" s="2">
        <v>8</v>
      </c>
      <c r="N25" s="2" t="s">
        <v>446</v>
      </c>
      <c r="O25" s="1">
        <v>184300000000</v>
      </c>
      <c r="P25" s="1"/>
      <c r="Q25" s="3">
        <v>288800000000</v>
      </c>
      <c r="T25">
        <v>6.9668519170902089E-3</v>
      </c>
      <c r="U25">
        <v>0.99999999999998179</v>
      </c>
      <c r="Y25" s="1">
        <f t="shared" si="0"/>
        <v>-138.44062584265836</v>
      </c>
      <c r="Z25">
        <v>0.107</v>
      </c>
      <c r="AA25"/>
    </row>
    <row r="26" spans="1:30">
      <c r="A26">
        <v>25</v>
      </c>
      <c r="B26" s="7" t="s">
        <v>52</v>
      </c>
      <c r="C26" s="7" t="s">
        <v>53</v>
      </c>
      <c r="D26" s="8" t="s">
        <v>35</v>
      </c>
      <c r="E26" s="7" t="s">
        <v>54</v>
      </c>
      <c r="F26" s="2" t="s">
        <v>425</v>
      </c>
      <c r="G26" s="17" t="s">
        <v>453</v>
      </c>
      <c r="H26" s="2" t="s">
        <v>427</v>
      </c>
      <c r="I26" s="2">
        <v>21</v>
      </c>
      <c r="J26" s="2" t="s">
        <v>428</v>
      </c>
      <c r="K26" s="2" t="s">
        <v>424</v>
      </c>
      <c r="L26" s="2" t="s">
        <v>434</v>
      </c>
      <c r="M26" s="2">
        <v>8</v>
      </c>
      <c r="N26" s="2" t="s">
        <v>429</v>
      </c>
      <c r="O26" s="1">
        <v>184300000000</v>
      </c>
      <c r="P26" s="1"/>
      <c r="Q26" s="3">
        <v>42180000000</v>
      </c>
      <c r="R26" s="3">
        <v>5738000000</v>
      </c>
      <c r="T26">
        <v>-2.6906514130519539E-2</v>
      </c>
      <c r="U26">
        <v>0.99256154773526939</v>
      </c>
      <c r="V26">
        <v>4.5652870994543808E-3</v>
      </c>
      <c r="W26">
        <v>-3.1471801229973922E-2</v>
      </c>
      <c r="X26">
        <v>-2.2341227031065159E-2</v>
      </c>
      <c r="Y26" s="1">
        <f t="shared" si="0"/>
        <v>35.846164794014861</v>
      </c>
      <c r="Z26">
        <v>0.107</v>
      </c>
      <c r="AA26"/>
      <c r="AB26" s="2">
        <v>0.216</v>
      </c>
      <c r="AC26" s="2">
        <v>0.184</v>
      </c>
    </row>
    <row r="27" spans="1:30">
      <c r="A27">
        <v>26</v>
      </c>
      <c r="B27" s="7" t="s">
        <v>52</v>
      </c>
      <c r="C27" s="7" t="s">
        <v>53</v>
      </c>
      <c r="D27" s="8" t="s">
        <v>35</v>
      </c>
      <c r="E27" s="7" t="s">
        <v>54</v>
      </c>
      <c r="F27" s="2" t="s">
        <v>454</v>
      </c>
      <c r="G27" s="17" t="s">
        <v>453</v>
      </c>
      <c r="H27" s="2" t="s">
        <v>442</v>
      </c>
      <c r="I27" s="2">
        <v>4</v>
      </c>
      <c r="J27" s="2" t="s">
        <v>428</v>
      </c>
      <c r="K27" s="2" t="s">
        <v>424</v>
      </c>
      <c r="L27" s="2" t="s">
        <v>434</v>
      </c>
      <c r="M27" s="2">
        <v>8</v>
      </c>
      <c r="N27" s="2" t="s">
        <v>446</v>
      </c>
      <c r="O27" s="1">
        <v>98000000000</v>
      </c>
      <c r="P27" s="1"/>
      <c r="Q27" s="3">
        <v>131100000000</v>
      </c>
      <c r="T27">
        <v>4.5134505713425666E-3</v>
      </c>
      <c r="U27">
        <v>1.0000000000000278</v>
      </c>
      <c r="Y27" s="1">
        <f t="shared" si="0"/>
        <v>-152.91982688606441</v>
      </c>
      <c r="Z27">
        <v>0.19</v>
      </c>
      <c r="AA27"/>
    </row>
    <row r="28" spans="1:30">
      <c r="A28">
        <v>27</v>
      </c>
      <c r="B28" s="7" t="s">
        <v>52</v>
      </c>
      <c r="C28" s="7" t="s">
        <v>53</v>
      </c>
      <c r="D28" s="8" t="s">
        <v>35</v>
      </c>
      <c r="E28" s="7" t="s">
        <v>54</v>
      </c>
      <c r="F28" s="2" t="s">
        <v>432</v>
      </c>
      <c r="G28" s="17" t="s">
        <v>453</v>
      </c>
      <c r="H28" s="2" t="s">
        <v>433</v>
      </c>
      <c r="I28" s="2">
        <v>21</v>
      </c>
      <c r="J28" s="2" t="s">
        <v>428</v>
      </c>
      <c r="K28" s="2" t="s">
        <v>424</v>
      </c>
      <c r="L28" s="2" t="s">
        <v>434</v>
      </c>
      <c r="M28" s="2">
        <v>8</v>
      </c>
      <c r="N28" s="2" t="s">
        <v>429</v>
      </c>
      <c r="O28" s="1">
        <v>184300000000</v>
      </c>
      <c r="P28" s="1"/>
      <c r="Q28" s="3">
        <v>41000000000</v>
      </c>
      <c r="R28" s="3">
        <v>11096000000</v>
      </c>
      <c r="T28">
        <v>-2.1792122984890108E-2</v>
      </c>
      <c r="U28">
        <v>0.99838078476480452</v>
      </c>
      <c r="V28">
        <v>1.7200925546948958E-3</v>
      </c>
      <c r="W28">
        <v>-2.3512215539585005E-2</v>
      </c>
      <c r="X28">
        <v>-2.007203043019521E-2</v>
      </c>
      <c r="Y28" s="1">
        <f t="shared" si="0"/>
        <v>44.258897594504219</v>
      </c>
      <c r="Z28">
        <v>0.19</v>
      </c>
      <c r="AA28"/>
      <c r="AB28" s="2">
        <v>0.222</v>
      </c>
      <c r="AC28" s="2">
        <v>0.19</v>
      </c>
    </row>
    <row r="29" spans="1:30">
      <c r="A29">
        <v>28</v>
      </c>
      <c r="B29" s="7" t="s">
        <v>52</v>
      </c>
      <c r="C29" s="7" t="s">
        <v>53</v>
      </c>
      <c r="D29" s="8" t="s">
        <v>35</v>
      </c>
      <c r="E29" s="7" t="s">
        <v>54</v>
      </c>
      <c r="F29" s="2" t="s">
        <v>441</v>
      </c>
      <c r="G29" s="17" t="s">
        <v>453</v>
      </c>
      <c r="H29" s="2" t="s">
        <v>442</v>
      </c>
      <c r="I29" s="2">
        <v>21</v>
      </c>
      <c r="J29" s="2" t="s">
        <v>428</v>
      </c>
      <c r="K29" s="2" t="s">
        <v>424</v>
      </c>
      <c r="L29" s="2" t="s">
        <v>434</v>
      </c>
      <c r="M29" s="2">
        <v>8</v>
      </c>
      <c r="N29" s="2" t="s">
        <v>429</v>
      </c>
      <c r="O29" s="1">
        <v>98000000000</v>
      </c>
      <c r="P29" s="1"/>
      <c r="Q29" s="3">
        <v>22040000000</v>
      </c>
      <c r="R29" s="3">
        <v>6194000000</v>
      </c>
      <c r="T29">
        <v>-2.1415265619137997E-2</v>
      </c>
      <c r="U29">
        <v>0.99783413010703803</v>
      </c>
      <c r="V29">
        <v>1.9555033368221478E-3</v>
      </c>
      <c r="W29">
        <v>-2.3370768955960144E-2</v>
      </c>
      <c r="X29">
        <v>-1.945976228231585E-2</v>
      </c>
      <c r="Y29" s="1">
        <f t="shared" si="0"/>
        <v>32.229162705864937</v>
      </c>
      <c r="Z29">
        <v>0.19</v>
      </c>
      <c r="AA29"/>
      <c r="AB29" s="2">
        <v>0.23799999999999999</v>
      </c>
      <c r="AC29" s="2">
        <v>0.21299999999999999</v>
      </c>
    </row>
    <row r="30" spans="1:30">
      <c r="A30">
        <v>29</v>
      </c>
      <c r="B30" s="7" t="s">
        <v>59</v>
      </c>
      <c r="C30" s="7" t="s">
        <v>60</v>
      </c>
      <c r="D30" s="8" t="s">
        <v>61</v>
      </c>
      <c r="E30" s="7" t="s">
        <v>63</v>
      </c>
      <c r="F30" s="2" t="s">
        <v>445</v>
      </c>
      <c r="G30" s="17" t="s">
        <v>453</v>
      </c>
      <c r="H30" s="2" t="s">
        <v>427</v>
      </c>
      <c r="I30" s="2">
        <v>4</v>
      </c>
      <c r="J30" s="2" t="s">
        <v>428</v>
      </c>
      <c r="K30" s="2" t="s">
        <v>424</v>
      </c>
      <c r="L30" s="2" t="s">
        <v>434</v>
      </c>
      <c r="M30" s="2">
        <v>8</v>
      </c>
      <c r="N30" s="2" t="s">
        <v>446</v>
      </c>
      <c r="O30" s="1">
        <v>66120000000</v>
      </c>
      <c r="P30" s="1"/>
      <c r="Q30" s="3">
        <v>77520000000</v>
      </c>
      <c r="T30">
        <v>2.4671756836893003E-3</v>
      </c>
      <c r="U30">
        <v>1</v>
      </c>
      <c r="Y30" s="1">
        <f t="shared" si="0"/>
        <v>-210.48474685794849</v>
      </c>
      <c r="Z30">
        <v>0.19400000000000001</v>
      </c>
      <c r="AA30"/>
    </row>
    <row r="31" spans="1:30">
      <c r="A31">
        <v>30</v>
      </c>
      <c r="B31" s="7" t="s">
        <v>59</v>
      </c>
      <c r="C31" s="7" t="s">
        <v>60</v>
      </c>
      <c r="D31" s="8" t="s">
        <v>61</v>
      </c>
      <c r="E31" s="7" t="s">
        <v>63</v>
      </c>
      <c r="F31" s="2" t="s">
        <v>425</v>
      </c>
      <c r="G31" s="17" t="s">
        <v>453</v>
      </c>
      <c r="H31" s="2" t="s">
        <v>427</v>
      </c>
      <c r="I31" s="2">
        <v>21</v>
      </c>
      <c r="J31" s="2" t="s">
        <v>428</v>
      </c>
      <c r="K31" s="2" t="s">
        <v>424</v>
      </c>
      <c r="L31" s="2" t="s">
        <v>434</v>
      </c>
      <c r="M31" s="2">
        <v>8</v>
      </c>
      <c r="N31" s="2" t="s">
        <v>429</v>
      </c>
      <c r="O31" s="1">
        <v>66120000000</v>
      </c>
      <c r="P31" s="1"/>
      <c r="Q31" s="3">
        <v>52440000000</v>
      </c>
      <c r="R31" s="3">
        <v>46700000000</v>
      </c>
      <c r="S31" s="3">
        <v>29555555555.555561</v>
      </c>
      <c r="T31">
        <v>-3.9265248413390755E-3</v>
      </c>
      <c r="U31">
        <v>0.93250297008867133</v>
      </c>
      <c r="V31">
        <v>1.4640592813703768E-3</v>
      </c>
      <c r="W31">
        <v>-5.3905841227094523E-3</v>
      </c>
      <c r="X31">
        <v>-2.4624655599686986E-3</v>
      </c>
      <c r="Y31" s="1">
        <f t="shared" si="0"/>
        <v>132.25507801914958</v>
      </c>
      <c r="Z31">
        <v>0.19400000000000001</v>
      </c>
      <c r="AA31"/>
      <c r="AB31" s="2">
        <v>0.25900000000000001</v>
      </c>
      <c r="AC31" s="2">
        <v>0.15</v>
      </c>
      <c r="AD31" s="2">
        <v>0.25700000000000001</v>
      </c>
    </row>
    <row r="32" spans="1:30">
      <c r="A32">
        <v>31</v>
      </c>
      <c r="B32" s="7" t="s">
        <v>59</v>
      </c>
      <c r="C32" s="7" t="s">
        <v>60</v>
      </c>
      <c r="D32" s="8" t="s">
        <v>61</v>
      </c>
      <c r="E32" s="7" t="s">
        <v>63</v>
      </c>
      <c r="F32" s="2" t="s">
        <v>454</v>
      </c>
      <c r="G32" s="17" t="s">
        <v>453</v>
      </c>
      <c r="H32" s="2" t="s">
        <v>442</v>
      </c>
      <c r="I32" s="2">
        <v>4</v>
      </c>
      <c r="J32" s="2" t="s">
        <v>428</v>
      </c>
      <c r="K32" s="2" t="s">
        <v>424</v>
      </c>
      <c r="L32" s="2" t="s">
        <v>434</v>
      </c>
      <c r="M32" s="2">
        <v>8</v>
      </c>
      <c r="N32" s="2" t="s">
        <v>446</v>
      </c>
      <c r="O32" s="1">
        <v>32680000000</v>
      </c>
      <c r="P32" s="1"/>
      <c r="Q32" s="3">
        <v>26600000000</v>
      </c>
      <c r="S32" s="3">
        <v>38422222222.222229</v>
      </c>
      <c r="T32">
        <v>1.1247514526028268E-3</v>
      </c>
      <c r="U32">
        <v>0.36123163939582903</v>
      </c>
      <c r="V32">
        <v>2.9314565467659392E-3</v>
      </c>
      <c r="W32">
        <v>-1.8067050941631124E-3</v>
      </c>
      <c r="X32">
        <v>4.0562079993687657E-3</v>
      </c>
      <c r="Y32" s="1">
        <f t="shared" si="0"/>
        <v>-189.5992680897661</v>
      </c>
      <c r="Z32">
        <v>0.26200000000000001</v>
      </c>
      <c r="AA32"/>
      <c r="AD32" s="2">
        <v>0.26700000000000002</v>
      </c>
    </row>
    <row r="33" spans="1:30">
      <c r="A33">
        <v>32</v>
      </c>
      <c r="B33" s="7" t="s">
        <v>59</v>
      </c>
      <c r="C33" s="7" t="s">
        <v>60</v>
      </c>
      <c r="D33" s="8" t="s">
        <v>61</v>
      </c>
      <c r="E33" s="7" t="s">
        <v>63</v>
      </c>
      <c r="F33" s="2" t="s">
        <v>432</v>
      </c>
      <c r="G33" s="17" t="s">
        <v>453</v>
      </c>
      <c r="H33" s="2" t="s">
        <v>433</v>
      </c>
      <c r="I33" s="2">
        <v>21</v>
      </c>
      <c r="J33" s="2" t="s">
        <v>428</v>
      </c>
      <c r="K33" s="2" t="s">
        <v>424</v>
      </c>
      <c r="L33" s="2" t="s">
        <v>434</v>
      </c>
      <c r="M33" s="2">
        <v>8</v>
      </c>
      <c r="N33" s="2" t="s">
        <v>429</v>
      </c>
      <c r="O33" s="1">
        <v>66120000000</v>
      </c>
      <c r="P33" s="1"/>
      <c r="Q33" s="3">
        <v>49000000000</v>
      </c>
      <c r="R33" s="3">
        <v>36900000000</v>
      </c>
      <c r="T33">
        <v>-4.5233299775062552E-3</v>
      </c>
      <c r="U33">
        <v>0.99974789896460037</v>
      </c>
      <c r="V33">
        <v>1.4078242003242019E-4</v>
      </c>
      <c r="W33">
        <v>-4.6641123975386754E-3</v>
      </c>
      <c r="X33">
        <v>-4.382547557473835E-3</v>
      </c>
      <c r="Y33" s="1">
        <f t="shared" si="0"/>
        <v>114.8054313565078</v>
      </c>
      <c r="Z33">
        <v>0.26200000000000001</v>
      </c>
      <c r="AA33"/>
      <c r="AB33" s="2">
        <v>0.26700000000000002</v>
      </c>
      <c r="AC33" s="2">
        <v>0.25700000000000001</v>
      </c>
    </row>
    <row r="34" spans="1:30">
      <c r="A34">
        <v>33</v>
      </c>
      <c r="B34" s="7" t="s">
        <v>59</v>
      </c>
      <c r="C34" s="7" t="s">
        <v>60</v>
      </c>
      <c r="D34" s="8" t="s">
        <v>61</v>
      </c>
      <c r="E34" s="7" t="s">
        <v>63</v>
      </c>
      <c r="F34" s="2" t="s">
        <v>441</v>
      </c>
      <c r="G34" s="17" t="s">
        <v>453</v>
      </c>
      <c r="H34" s="2" t="s">
        <v>442</v>
      </c>
      <c r="I34" s="2">
        <v>21</v>
      </c>
      <c r="J34" s="2" t="s">
        <v>428</v>
      </c>
      <c r="K34" s="2" t="s">
        <v>424</v>
      </c>
      <c r="L34" s="2" t="s">
        <v>434</v>
      </c>
      <c r="M34" s="2">
        <v>8</v>
      </c>
      <c r="N34" s="2" t="s">
        <v>429</v>
      </c>
      <c r="O34" s="1">
        <v>32680000000</v>
      </c>
      <c r="P34" s="1"/>
      <c r="Q34" s="3">
        <v>53200000000</v>
      </c>
      <c r="R34" s="3">
        <v>18900000000</v>
      </c>
      <c r="S34" s="3">
        <v>13088888888.888891</v>
      </c>
      <c r="T34">
        <v>-5.8628129595273372E-3</v>
      </c>
      <c r="U34">
        <v>0.62844513358980902</v>
      </c>
      <c r="V34">
        <v>6.2476533599401555E-3</v>
      </c>
      <c r="W34">
        <v>-1.2110466319467493E-2</v>
      </c>
      <c r="X34">
        <v>3.8484040041281836E-4</v>
      </c>
      <c r="Y34" s="1">
        <f t="shared" ref="Y34:Y65" si="1">(LOG(20000000000)-LOG(O34))/T34</f>
        <v>36.373674832974665</v>
      </c>
      <c r="Z34">
        <v>0.26200000000000001</v>
      </c>
      <c r="AA34"/>
      <c r="AB34" s="2">
        <v>0.27900000000000003</v>
      </c>
      <c r="AC34" s="2">
        <v>0.26400000000000001</v>
      </c>
      <c r="AD34" s="2">
        <v>0.26900000000000002</v>
      </c>
    </row>
    <row r="35" spans="1:30">
      <c r="A35">
        <v>34</v>
      </c>
      <c r="B35" s="7" t="s">
        <v>67</v>
      </c>
      <c r="C35" s="7" t="s">
        <v>68</v>
      </c>
      <c r="D35" s="8" t="s">
        <v>35</v>
      </c>
      <c r="E35" s="7" t="s">
        <v>63</v>
      </c>
      <c r="F35" s="2" t="s">
        <v>445</v>
      </c>
      <c r="G35" s="17" t="s">
        <v>453</v>
      </c>
      <c r="H35" s="2" t="s">
        <v>427</v>
      </c>
      <c r="I35" s="2">
        <v>4</v>
      </c>
      <c r="J35" s="2" t="s">
        <v>428</v>
      </c>
      <c r="K35" s="2" t="s">
        <v>424</v>
      </c>
      <c r="L35" s="2" t="s">
        <v>434</v>
      </c>
      <c r="M35" s="2">
        <v>8</v>
      </c>
      <c r="N35" s="2" t="s">
        <v>446</v>
      </c>
      <c r="O35" s="1">
        <v>315400000000</v>
      </c>
      <c r="P35" s="1"/>
      <c r="Q35" s="3">
        <v>281200000000</v>
      </c>
      <c r="S35" s="3">
        <v>209000000000</v>
      </c>
      <c r="T35">
        <v>-2.1523740861327969E-3</v>
      </c>
      <c r="U35">
        <v>0.99642547435611073</v>
      </c>
      <c r="V35">
        <v>2.5266939657279182E-4</v>
      </c>
      <c r="W35">
        <v>-2.405043482705589E-3</v>
      </c>
      <c r="X35">
        <v>-1.8997046895600051E-3</v>
      </c>
      <c r="Y35" s="1">
        <f t="shared" si="1"/>
        <v>556.51650010387596</v>
      </c>
      <c r="Z35">
        <v>7.3999999999999996E-2</v>
      </c>
      <c r="AA35"/>
      <c r="AD35" s="2">
        <v>0.13600000000000001</v>
      </c>
    </row>
    <row r="36" spans="1:30">
      <c r="A36">
        <v>35</v>
      </c>
      <c r="B36" s="7" t="s">
        <v>67</v>
      </c>
      <c r="C36" s="7" t="s">
        <v>68</v>
      </c>
      <c r="D36" s="8" t="s">
        <v>35</v>
      </c>
      <c r="E36" s="7" t="s">
        <v>63</v>
      </c>
      <c r="F36" s="2" t="s">
        <v>425</v>
      </c>
      <c r="G36" s="17" t="s">
        <v>453</v>
      </c>
      <c r="H36" s="2" t="s">
        <v>427</v>
      </c>
      <c r="I36" s="2">
        <v>21</v>
      </c>
      <c r="J36" s="2" t="s">
        <v>428</v>
      </c>
      <c r="K36" s="2" t="s">
        <v>424</v>
      </c>
      <c r="L36" s="2" t="s">
        <v>434</v>
      </c>
      <c r="M36" s="2">
        <v>8</v>
      </c>
      <c r="N36" s="2" t="s">
        <v>429</v>
      </c>
      <c r="O36" s="1">
        <v>315400000000</v>
      </c>
      <c r="P36" s="1"/>
      <c r="Q36" s="3">
        <v>38760000000</v>
      </c>
      <c r="R36" s="3">
        <v>12000000000</v>
      </c>
      <c r="S36" s="3">
        <v>1393333333.3333335</v>
      </c>
      <c r="T36">
        <v>-2.7048651814798663E-2</v>
      </c>
      <c r="U36">
        <v>0.98815967410592076</v>
      </c>
      <c r="V36">
        <v>4.1034295472535693E-3</v>
      </c>
      <c r="W36">
        <v>-3.1152081362052234E-2</v>
      </c>
      <c r="X36">
        <v>-2.2945222267545091E-2</v>
      </c>
      <c r="Y36" s="1">
        <f t="shared" si="1"/>
        <v>44.28433999337274</v>
      </c>
      <c r="Z36">
        <v>7.3999999999999996E-2</v>
      </c>
      <c r="AA36"/>
      <c r="AB36" s="2">
        <v>0.16800000000000001</v>
      </c>
      <c r="AC36" s="2">
        <v>0.14199999999999999</v>
      </c>
      <c r="AD36" s="2">
        <v>0.17299999999999999</v>
      </c>
    </row>
    <row r="37" spans="1:30">
      <c r="A37">
        <v>36</v>
      </c>
      <c r="B37" s="7" t="s">
        <v>67</v>
      </c>
      <c r="C37" s="7" t="s">
        <v>68</v>
      </c>
      <c r="D37" s="8" t="s">
        <v>35</v>
      </c>
      <c r="E37" s="7" t="s">
        <v>63</v>
      </c>
      <c r="F37" s="2" t="s">
        <v>454</v>
      </c>
      <c r="G37" s="17" t="s">
        <v>453</v>
      </c>
      <c r="H37" s="2" t="s">
        <v>442</v>
      </c>
      <c r="I37" s="2">
        <v>4</v>
      </c>
      <c r="J37" s="2" t="s">
        <v>428</v>
      </c>
      <c r="K37" s="2" t="s">
        <v>424</v>
      </c>
      <c r="L37" s="2" t="s">
        <v>434</v>
      </c>
      <c r="M37" s="2">
        <v>8</v>
      </c>
      <c r="N37" s="2" t="s">
        <v>446</v>
      </c>
      <c r="O37" s="1">
        <v>147440000000</v>
      </c>
      <c r="P37" s="1"/>
      <c r="Q37" s="3">
        <v>95760000000</v>
      </c>
      <c r="S37" s="3">
        <v>93733333333.333344</v>
      </c>
      <c r="T37">
        <v>-2.0310589747495138E-3</v>
      </c>
      <c r="U37">
        <v>0.6125628534359735</v>
      </c>
      <c r="V37">
        <v>3.1658907589280205E-3</v>
      </c>
      <c r="W37">
        <v>-5.1969497336775347E-3</v>
      </c>
      <c r="X37">
        <v>1.1348317841785066E-3</v>
      </c>
      <c r="Y37" s="1">
        <f t="shared" si="1"/>
        <v>427.15910140129438</v>
      </c>
      <c r="Z37">
        <v>0.17599999999999999</v>
      </c>
      <c r="AA37"/>
      <c r="AD37" s="2">
        <v>0.19</v>
      </c>
    </row>
    <row r="38" spans="1:30">
      <c r="A38">
        <v>37</v>
      </c>
      <c r="B38" s="7" t="s">
        <v>67</v>
      </c>
      <c r="C38" s="7" t="s">
        <v>68</v>
      </c>
      <c r="D38" s="8" t="s">
        <v>35</v>
      </c>
      <c r="E38" s="7" t="s">
        <v>63</v>
      </c>
      <c r="F38" s="2" t="s">
        <v>432</v>
      </c>
      <c r="G38" s="17" t="s">
        <v>453</v>
      </c>
      <c r="H38" s="2" t="s">
        <v>433</v>
      </c>
      <c r="I38" s="2">
        <v>21</v>
      </c>
      <c r="J38" s="2" t="s">
        <v>428</v>
      </c>
      <c r="K38" s="2" t="s">
        <v>424</v>
      </c>
      <c r="L38" s="2" t="s">
        <v>434</v>
      </c>
      <c r="M38" s="2">
        <v>8</v>
      </c>
      <c r="N38" s="2" t="s">
        <v>429</v>
      </c>
      <c r="O38" s="1">
        <v>315400000000</v>
      </c>
      <c r="P38" s="1"/>
      <c r="Q38" s="3">
        <v>38000000000</v>
      </c>
      <c r="R38" s="3">
        <v>11800000000</v>
      </c>
      <c r="T38">
        <v>-2.5481780030120679E-2</v>
      </c>
      <c r="U38">
        <v>0.97306954903625542</v>
      </c>
      <c r="V38">
        <v>8.3085975902878612E-3</v>
      </c>
      <c r="W38">
        <v>-3.379037762040854E-2</v>
      </c>
      <c r="X38">
        <v>-1.7173182439832818E-2</v>
      </c>
      <c r="Y38" s="1">
        <f t="shared" si="1"/>
        <v>47.007379072930085</v>
      </c>
      <c r="Z38">
        <v>0.17599999999999999</v>
      </c>
      <c r="AA38"/>
      <c r="AB38" s="2">
        <v>0.221</v>
      </c>
      <c r="AC38" s="2">
        <v>0.19400000000000001</v>
      </c>
    </row>
    <row r="39" spans="1:30">
      <c r="A39">
        <v>38</v>
      </c>
      <c r="B39" s="7" t="s">
        <v>67</v>
      </c>
      <c r="C39" s="7" t="s">
        <v>68</v>
      </c>
      <c r="D39" s="8" t="s">
        <v>35</v>
      </c>
      <c r="E39" s="7" t="s">
        <v>63</v>
      </c>
      <c r="F39" s="2" t="s">
        <v>441</v>
      </c>
      <c r="G39" s="17" t="s">
        <v>453</v>
      </c>
      <c r="H39" s="2" t="s">
        <v>442</v>
      </c>
      <c r="I39" s="2">
        <v>21</v>
      </c>
      <c r="J39" s="2" t="s">
        <v>428</v>
      </c>
      <c r="K39" s="2" t="s">
        <v>424</v>
      </c>
      <c r="L39" s="2" t="s">
        <v>434</v>
      </c>
      <c r="M39" s="2">
        <v>8</v>
      </c>
      <c r="N39" s="2" t="s">
        <v>429</v>
      </c>
      <c r="O39" s="1">
        <v>147440000000</v>
      </c>
      <c r="P39" s="1"/>
      <c r="Q39" s="3">
        <v>22040000000</v>
      </c>
      <c r="R39" s="3">
        <v>5490000000</v>
      </c>
      <c r="S39" s="3">
        <v>3715555555.5555558</v>
      </c>
      <c r="T39">
        <v>-1.9283621194213361E-2</v>
      </c>
      <c r="U39">
        <v>0.92995698635969581</v>
      </c>
      <c r="V39">
        <v>7.3345363606166494E-3</v>
      </c>
      <c r="W39">
        <v>-2.6618157554830012E-2</v>
      </c>
      <c r="X39">
        <v>-1.1949084833596711E-2</v>
      </c>
      <c r="Y39" s="1">
        <f t="shared" si="1"/>
        <v>44.990788701417863</v>
      </c>
      <c r="Z39">
        <v>0.17599999999999999</v>
      </c>
      <c r="AA39"/>
      <c r="AB39" s="2">
        <v>0.255</v>
      </c>
      <c r="AC39" s="2">
        <v>0.184</v>
      </c>
      <c r="AD39" s="2">
        <v>0.249</v>
      </c>
    </row>
    <row r="40" spans="1:30">
      <c r="A40">
        <v>39</v>
      </c>
      <c r="B40" s="7" t="s">
        <v>69</v>
      </c>
      <c r="C40" s="7" t="s">
        <v>70</v>
      </c>
      <c r="D40" s="8" t="s">
        <v>61</v>
      </c>
      <c r="E40" s="17" t="s">
        <v>39</v>
      </c>
      <c r="F40" s="2" t="s">
        <v>445</v>
      </c>
      <c r="G40" s="17" t="s">
        <v>455</v>
      </c>
      <c r="H40" s="2" t="s">
        <v>427</v>
      </c>
      <c r="I40" s="2">
        <v>4</v>
      </c>
      <c r="J40" s="2" t="s">
        <v>428</v>
      </c>
      <c r="K40" s="2" t="s">
        <v>424</v>
      </c>
      <c r="L40" s="2" t="s">
        <v>434</v>
      </c>
      <c r="M40" s="2">
        <v>8</v>
      </c>
      <c r="N40" s="2" t="s">
        <v>446</v>
      </c>
      <c r="O40" s="3">
        <v>40660000000</v>
      </c>
      <c r="Q40" s="3">
        <v>22040000000</v>
      </c>
      <c r="T40">
        <v>-9.4984208615097321E-3</v>
      </c>
      <c r="U40">
        <v>1</v>
      </c>
      <c r="Y40" s="1">
        <f t="shared" si="1"/>
        <v>32.440906033833237</v>
      </c>
      <c r="Z40" s="14">
        <v>0.42</v>
      </c>
      <c r="AA40" s="14"/>
    </row>
    <row r="41" spans="1:30">
      <c r="A41">
        <v>40</v>
      </c>
      <c r="B41" s="7" t="s">
        <v>69</v>
      </c>
      <c r="C41" s="7" t="s">
        <v>70</v>
      </c>
      <c r="D41" s="8" t="s">
        <v>61</v>
      </c>
      <c r="E41" s="17" t="s">
        <v>39</v>
      </c>
      <c r="F41" s="2" t="s">
        <v>454</v>
      </c>
      <c r="G41" s="17" t="s">
        <v>455</v>
      </c>
      <c r="H41" s="2" t="s">
        <v>442</v>
      </c>
      <c r="I41" s="2">
        <v>4</v>
      </c>
      <c r="J41" s="2" t="s">
        <v>428</v>
      </c>
      <c r="K41" s="2" t="s">
        <v>424</v>
      </c>
      <c r="L41" s="2" t="s">
        <v>434</v>
      </c>
      <c r="M41" s="2">
        <v>8</v>
      </c>
      <c r="N41" s="2" t="s">
        <v>446</v>
      </c>
      <c r="O41" s="3">
        <v>13300000000</v>
      </c>
      <c r="Q41" s="3">
        <v>9880000000</v>
      </c>
      <c r="T41">
        <v>-4.6105248706948968E-3</v>
      </c>
      <c r="U41">
        <v>1.0000000000000002</v>
      </c>
      <c r="Y41" s="1">
        <f t="shared" si="1"/>
        <v>-38.429107241794618</v>
      </c>
      <c r="Z41" s="14">
        <v>0.33700000000000002</v>
      </c>
      <c r="AA41" s="14"/>
    </row>
    <row r="42" spans="1:30">
      <c r="A42">
        <v>41</v>
      </c>
      <c r="B42" s="7" t="s">
        <v>69</v>
      </c>
      <c r="C42" s="7" t="s">
        <v>70</v>
      </c>
      <c r="D42" s="8" t="s">
        <v>61</v>
      </c>
      <c r="E42" s="17" t="s">
        <v>39</v>
      </c>
      <c r="F42" s="2" t="s">
        <v>441</v>
      </c>
      <c r="G42" s="17" t="s">
        <v>455</v>
      </c>
      <c r="H42" s="2" t="s">
        <v>442</v>
      </c>
      <c r="I42" s="2">
        <v>21</v>
      </c>
      <c r="J42" s="2" t="s">
        <v>428</v>
      </c>
      <c r="K42" s="2" t="s">
        <v>424</v>
      </c>
      <c r="L42" s="2" t="s">
        <v>434</v>
      </c>
      <c r="M42" s="2">
        <v>8</v>
      </c>
      <c r="N42" s="2" t="s">
        <v>446</v>
      </c>
      <c r="O42" s="3">
        <v>13300000000</v>
      </c>
      <c r="Q42" s="3">
        <v>7220000000</v>
      </c>
      <c r="T42">
        <v>-9.4755158356229999E-3</v>
      </c>
      <c r="U42">
        <v>0.99999999999997313</v>
      </c>
      <c r="Y42" s="1">
        <f t="shared" si="1"/>
        <v>-18.698544519423123</v>
      </c>
      <c r="Z42" s="14">
        <v>0.33700000000000002</v>
      </c>
      <c r="AA42" s="14"/>
      <c r="AB42" s="2">
        <v>0.29899999999999999</v>
      </c>
    </row>
    <row r="43" spans="1:30">
      <c r="A43">
        <v>42</v>
      </c>
      <c r="B43" s="7" t="s">
        <v>73</v>
      </c>
      <c r="C43" s="7" t="s">
        <v>74</v>
      </c>
      <c r="D43" s="8" t="s">
        <v>61</v>
      </c>
      <c r="E43" s="17" t="s">
        <v>54</v>
      </c>
      <c r="F43" s="2" t="s">
        <v>445</v>
      </c>
      <c r="G43" s="17" t="s">
        <v>455</v>
      </c>
      <c r="H43" s="2" t="s">
        <v>427</v>
      </c>
      <c r="I43" s="2">
        <v>4</v>
      </c>
      <c r="J43" s="2" t="s">
        <v>428</v>
      </c>
      <c r="K43" s="2" t="s">
        <v>424</v>
      </c>
      <c r="L43" s="2" t="s">
        <v>434</v>
      </c>
      <c r="M43" s="2">
        <v>8</v>
      </c>
      <c r="N43" s="2" t="s">
        <v>446</v>
      </c>
      <c r="O43" s="3">
        <v>66880000000</v>
      </c>
      <c r="Q43" s="3">
        <v>59280000000</v>
      </c>
      <c r="T43">
        <v>-1.8710024807031031E-3</v>
      </c>
      <c r="U43">
        <v>0.99999999999993217</v>
      </c>
      <c r="Y43" s="1">
        <f t="shared" si="1"/>
        <v>280.20607891977005</v>
      </c>
      <c r="Z43" s="14" t="s">
        <v>49</v>
      </c>
      <c r="AA43" s="14"/>
    </row>
    <row r="44" spans="1:30">
      <c r="A44">
        <v>43</v>
      </c>
      <c r="B44" s="7" t="s">
        <v>73</v>
      </c>
      <c r="C44" s="7" t="s">
        <v>74</v>
      </c>
      <c r="D44" s="8" t="s">
        <v>61</v>
      </c>
      <c r="E44" s="17" t="s">
        <v>54</v>
      </c>
      <c r="F44" s="2" t="s">
        <v>454</v>
      </c>
      <c r="G44" s="17" t="s">
        <v>455</v>
      </c>
      <c r="H44" s="2" t="s">
        <v>442</v>
      </c>
      <c r="I44" s="2">
        <v>4</v>
      </c>
      <c r="J44" s="2" t="s">
        <v>428</v>
      </c>
      <c r="K44" s="2" t="s">
        <v>424</v>
      </c>
      <c r="L44" s="2" t="s">
        <v>434</v>
      </c>
      <c r="M44" s="2">
        <v>8</v>
      </c>
      <c r="N44" s="2" t="s">
        <v>446</v>
      </c>
      <c r="O44" s="3">
        <v>42180000000</v>
      </c>
      <c r="Q44" s="3">
        <v>26220000000</v>
      </c>
      <c r="T44">
        <v>-7.3740674303357043E-3</v>
      </c>
      <c r="U44">
        <v>0.99999999999998279</v>
      </c>
      <c r="Y44" s="1">
        <f t="shared" si="1"/>
        <v>43.948144331619282</v>
      </c>
      <c r="Z44" s="14">
        <v>0.38100000000000001</v>
      </c>
      <c r="AA44" s="14"/>
    </row>
    <row r="45" spans="1:30">
      <c r="A45">
        <v>44</v>
      </c>
      <c r="B45" s="7" t="s">
        <v>73</v>
      </c>
      <c r="C45" s="7" t="s">
        <v>74</v>
      </c>
      <c r="D45" s="8" t="s">
        <v>61</v>
      </c>
      <c r="E45" s="17" t="s">
        <v>54</v>
      </c>
      <c r="F45" s="2" t="s">
        <v>441</v>
      </c>
      <c r="G45" s="17" t="s">
        <v>455</v>
      </c>
      <c r="H45" s="2" t="s">
        <v>442</v>
      </c>
      <c r="I45" s="2">
        <v>21</v>
      </c>
      <c r="J45" s="2" t="s">
        <v>428</v>
      </c>
      <c r="K45" s="2" t="s">
        <v>424</v>
      </c>
      <c r="L45" s="2" t="s">
        <v>434</v>
      </c>
      <c r="M45" s="2">
        <v>8</v>
      </c>
      <c r="N45" s="2" t="s">
        <v>446</v>
      </c>
      <c r="O45" s="3">
        <v>42180000000</v>
      </c>
      <c r="Q45" s="3">
        <v>11000000000</v>
      </c>
      <c r="T45">
        <v>-2.0846924651615764E-2</v>
      </c>
      <c r="U45">
        <v>0.99999999999999378</v>
      </c>
      <c r="Y45" s="1">
        <f t="shared" si="1"/>
        <v>15.545534180955009</v>
      </c>
      <c r="Z45" s="14">
        <v>0.38100000000000001</v>
      </c>
      <c r="AA45" s="14"/>
      <c r="AB45" s="2">
        <v>0.318</v>
      </c>
    </row>
    <row r="46" spans="1:30">
      <c r="A46">
        <v>45</v>
      </c>
      <c r="B46" s="7" t="s">
        <v>76</v>
      </c>
      <c r="C46" s="7" t="s">
        <v>77</v>
      </c>
      <c r="D46" s="8" t="s">
        <v>61</v>
      </c>
      <c r="E46" s="17" t="s">
        <v>39</v>
      </c>
      <c r="F46" s="2" t="s">
        <v>445</v>
      </c>
      <c r="G46" s="17" t="s">
        <v>453</v>
      </c>
      <c r="H46" s="2" t="s">
        <v>427</v>
      </c>
      <c r="I46" s="2">
        <v>4</v>
      </c>
      <c r="J46" s="2" t="s">
        <v>428</v>
      </c>
      <c r="K46" s="2" t="s">
        <v>424</v>
      </c>
      <c r="L46" s="2" t="s">
        <v>434</v>
      </c>
      <c r="M46" s="2">
        <v>8</v>
      </c>
      <c r="N46" s="2" t="s">
        <v>446</v>
      </c>
      <c r="O46" s="3">
        <v>37700000000</v>
      </c>
      <c r="Q46" s="3">
        <v>29640000000</v>
      </c>
      <c r="T46">
        <v>-3.7308268178036473E-3</v>
      </c>
      <c r="U46">
        <v>1</v>
      </c>
      <c r="Y46" s="1">
        <f t="shared" si="1"/>
        <v>73.793657006006043</v>
      </c>
      <c r="Z46" s="14" t="s">
        <v>49</v>
      </c>
      <c r="AA46" s="14"/>
    </row>
    <row r="47" spans="1:30">
      <c r="A47">
        <v>46</v>
      </c>
      <c r="B47" s="7" t="s">
        <v>76</v>
      </c>
      <c r="C47" s="7" t="s">
        <v>77</v>
      </c>
      <c r="D47" s="8" t="s">
        <v>61</v>
      </c>
      <c r="E47" s="17" t="s">
        <v>39</v>
      </c>
      <c r="F47" s="2" t="s">
        <v>454</v>
      </c>
      <c r="G47" s="17" t="s">
        <v>453</v>
      </c>
      <c r="H47" s="2" t="s">
        <v>442</v>
      </c>
      <c r="I47" s="2">
        <v>4</v>
      </c>
      <c r="J47" s="2" t="s">
        <v>428</v>
      </c>
      <c r="K47" s="2" t="s">
        <v>424</v>
      </c>
      <c r="L47" s="2" t="s">
        <v>434</v>
      </c>
      <c r="M47" s="2">
        <v>8</v>
      </c>
      <c r="N47" s="2" t="s">
        <v>446</v>
      </c>
      <c r="O47" s="3">
        <v>10260000000</v>
      </c>
      <c r="Q47" s="3">
        <v>3040000000</v>
      </c>
      <c r="T47">
        <v>-1.8866920613108674E-2</v>
      </c>
      <c r="U47">
        <v>0.99999999999999323</v>
      </c>
      <c r="Y47" s="1">
        <f t="shared" si="1"/>
        <v>-15.364597160957674</v>
      </c>
      <c r="Z47" s="14">
        <v>0.40500000000000003</v>
      </c>
      <c r="AA47" s="14"/>
    </row>
    <row r="48" spans="1:30">
      <c r="A48">
        <v>47</v>
      </c>
      <c r="B48" s="7" t="s">
        <v>76</v>
      </c>
      <c r="C48" s="7" t="s">
        <v>77</v>
      </c>
      <c r="D48" s="8" t="s">
        <v>61</v>
      </c>
      <c r="E48" s="17" t="s">
        <v>39</v>
      </c>
      <c r="F48" s="2" t="s">
        <v>441</v>
      </c>
      <c r="G48" s="17" t="s">
        <v>453</v>
      </c>
      <c r="H48" s="2" t="s">
        <v>442</v>
      </c>
      <c r="I48" s="2">
        <v>21</v>
      </c>
      <c r="J48" s="2" t="s">
        <v>428</v>
      </c>
      <c r="K48" s="2" t="s">
        <v>424</v>
      </c>
      <c r="L48" s="2" t="s">
        <v>434</v>
      </c>
      <c r="M48" s="2">
        <v>8</v>
      </c>
      <c r="N48" s="2" t="s">
        <v>446</v>
      </c>
      <c r="O48" s="3">
        <v>10260000000</v>
      </c>
      <c r="Q48" s="3">
        <v>5320000000</v>
      </c>
      <c r="R48" s="3">
        <v>4120000000</v>
      </c>
      <c r="S48" s="3">
        <v>3968888888.8888903</v>
      </c>
      <c r="T48">
        <v>-4.8158917009205517E-3</v>
      </c>
      <c r="U48">
        <v>0.83162901549746504</v>
      </c>
      <c r="V48">
        <v>3.0031609910689643E-3</v>
      </c>
      <c r="W48">
        <v>-7.819052691989516E-3</v>
      </c>
      <c r="X48">
        <v>-1.8127307098515875E-3</v>
      </c>
      <c r="Y48" s="1">
        <f t="shared" si="1"/>
        <v>-60.192930591186801</v>
      </c>
      <c r="Z48" s="14">
        <v>0.40500000000000003</v>
      </c>
      <c r="AA48" s="14"/>
      <c r="AB48" s="2">
        <v>0.35</v>
      </c>
      <c r="AC48" s="2">
        <v>0.34300000000000003</v>
      </c>
      <c r="AD48" s="2">
        <v>0.35599999999999998</v>
      </c>
    </row>
    <row r="49" spans="1:30">
      <c r="A49">
        <v>48</v>
      </c>
      <c r="B49" s="7" t="s">
        <v>84</v>
      </c>
      <c r="C49" s="7" t="s">
        <v>85</v>
      </c>
      <c r="D49" s="8" t="s">
        <v>61</v>
      </c>
      <c r="E49" s="17" t="s">
        <v>54</v>
      </c>
      <c r="F49" s="2" t="s">
        <v>445</v>
      </c>
      <c r="G49" s="17" t="s">
        <v>453</v>
      </c>
      <c r="H49" s="2" t="s">
        <v>427</v>
      </c>
      <c r="I49" s="2">
        <v>4</v>
      </c>
      <c r="J49" s="2" t="s">
        <v>428</v>
      </c>
      <c r="K49" s="2" t="s">
        <v>424</v>
      </c>
      <c r="L49" s="2" t="s">
        <v>434</v>
      </c>
      <c r="M49" s="2">
        <v>8</v>
      </c>
      <c r="N49" s="2" t="s">
        <v>446</v>
      </c>
      <c r="O49" s="3">
        <v>58900000000</v>
      </c>
      <c r="Q49" s="3">
        <v>74480000000</v>
      </c>
      <c r="T49">
        <v>3.6401561852209166E-3</v>
      </c>
      <c r="U49">
        <v>1.0000000000000346</v>
      </c>
      <c r="Y49" s="1">
        <f t="shared" si="1"/>
        <v>-128.86405836859785</v>
      </c>
      <c r="Z49" s="14">
        <v>0.2</v>
      </c>
      <c r="AA49" s="14"/>
    </row>
    <row r="50" spans="1:30">
      <c r="A50">
        <v>49</v>
      </c>
      <c r="B50" s="7" t="s">
        <v>84</v>
      </c>
      <c r="C50" s="7" t="s">
        <v>85</v>
      </c>
      <c r="D50" s="8" t="s">
        <v>61</v>
      </c>
      <c r="E50" s="17" t="s">
        <v>54</v>
      </c>
      <c r="F50" s="2" t="s">
        <v>454</v>
      </c>
      <c r="G50" s="17" t="s">
        <v>453</v>
      </c>
      <c r="H50" s="2" t="s">
        <v>442</v>
      </c>
      <c r="I50" s="2">
        <v>4</v>
      </c>
      <c r="J50" s="2" t="s">
        <v>428</v>
      </c>
      <c r="K50" s="2" t="s">
        <v>424</v>
      </c>
      <c r="L50" s="2" t="s">
        <v>434</v>
      </c>
      <c r="M50" s="2">
        <v>8</v>
      </c>
      <c r="N50" s="2" t="s">
        <v>446</v>
      </c>
      <c r="O50" s="3">
        <v>35720000000</v>
      </c>
      <c r="Q50" s="3">
        <v>33060000000</v>
      </c>
      <c r="T50">
        <v>-1.200307177895708E-3</v>
      </c>
      <c r="U50">
        <v>0.9999999999998942</v>
      </c>
      <c r="Y50" s="1">
        <f t="shared" si="1"/>
        <v>209.84749503382</v>
      </c>
      <c r="Z50" s="14">
        <v>0.33400000000000002</v>
      </c>
      <c r="AA50" s="14"/>
    </row>
    <row r="51" spans="1:30">
      <c r="A51">
        <v>50</v>
      </c>
      <c r="B51" s="7" t="s">
        <v>84</v>
      </c>
      <c r="C51" s="7" t="s">
        <v>85</v>
      </c>
      <c r="D51" s="8" t="s">
        <v>61</v>
      </c>
      <c r="E51" s="17" t="s">
        <v>54</v>
      </c>
      <c r="F51" s="2" t="s">
        <v>441</v>
      </c>
      <c r="G51" s="17" t="s">
        <v>453</v>
      </c>
      <c r="H51" s="2" t="s">
        <v>442</v>
      </c>
      <c r="I51" s="2">
        <v>21</v>
      </c>
      <c r="J51" s="2" t="s">
        <v>428</v>
      </c>
      <c r="K51" s="2" t="s">
        <v>424</v>
      </c>
      <c r="L51" s="2" t="s">
        <v>434</v>
      </c>
      <c r="M51" s="2">
        <v>8</v>
      </c>
      <c r="N51" s="2" t="s">
        <v>446</v>
      </c>
      <c r="O51" s="3">
        <v>35720000000</v>
      </c>
      <c r="Q51" s="3">
        <v>19400000000</v>
      </c>
      <c r="T51">
        <v>-9.4682042959386703E-3</v>
      </c>
      <c r="U51">
        <v>1</v>
      </c>
      <c r="Y51" s="1">
        <f t="shared" si="1"/>
        <v>26.6028749147894</v>
      </c>
      <c r="Z51" s="14">
        <v>0.33400000000000002</v>
      </c>
      <c r="AA51" s="14"/>
      <c r="AB51" s="2">
        <v>0.29899999999999999</v>
      </c>
    </row>
    <row r="52" spans="1:30">
      <c r="A52">
        <v>51</v>
      </c>
      <c r="B52" s="7" t="s">
        <v>87</v>
      </c>
      <c r="C52" s="7" t="s">
        <v>88</v>
      </c>
      <c r="D52" s="8" t="s">
        <v>35</v>
      </c>
      <c r="E52" s="17" t="s">
        <v>63</v>
      </c>
      <c r="F52" s="2" t="s">
        <v>445</v>
      </c>
      <c r="G52" s="17" t="s">
        <v>455</v>
      </c>
      <c r="H52" s="2" t="s">
        <v>427</v>
      </c>
      <c r="I52" s="2">
        <v>4</v>
      </c>
      <c r="J52" s="2" t="s">
        <v>428</v>
      </c>
      <c r="K52" s="2" t="s">
        <v>424</v>
      </c>
      <c r="L52" s="2" t="s">
        <v>434</v>
      </c>
      <c r="M52" s="2">
        <v>8</v>
      </c>
      <c r="N52" s="2" t="s">
        <v>446</v>
      </c>
      <c r="O52" s="3">
        <v>638400000000</v>
      </c>
      <c r="Q52" s="3">
        <v>387600000000</v>
      </c>
      <c r="T52">
        <v>-7.7396110701409455E-3</v>
      </c>
      <c r="U52">
        <v>1.0000000000000164</v>
      </c>
      <c r="Y52" s="1">
        <f t="shared" si="1"/>
        <v>194.33313496608321</v>
      </c>
      <c r="Z52" s="14">
        <v>0.15</v>
      </c>
      <c r="AA52" s="14"/>
    </row>
    <row r="53" spans="1:30">
      <c r="A53">
        <v>52</v>
      </c>
      <c r="B53" s="7" t="s">
        <v>87</v>
      </c>
      <c r="C53" s="7" t="s">
        <v>88</v>
      </c>
      <c r="D53" s="8" t="s">
        <v>35</v>
      </c>
      <c r="E53" s="17" t="s">
        <v>63</v>
      </c>
      <c r="F53" s="2" t="s">
        <v>454</v>
      </c>
      <c r="G53" s="17" t="s">
        <v>455</v>
      </c>
      <c r="H53" s="2" t="s">
        <v>442</v>
      </c>
      <c r="I53" s="2">
        <v>4</v>
      </c>
      <c r="J53" s="2" t="s">
        <v>428</v>
      </c>
      <c r="K53" s="2" t="s">
        <v>424</v>
      </c>
      <c r="L53" s="2" t="s">
        <v>434</v>
      </c>
      <c r="M53" s="2">
        <v>8</v>
      </c>
      <c r="N53" s="2" t="s">
        <v>446</v>
      </c>
      <c r="O53" s="3">
        <v>277400000000</v>
      </c>
      <c r="Q53" s="3">
        <v>156940000000</v>
      </c>
      <c r="T53">
        <v>-8.8347431594305303E-3</v>
      </c>
      <c r="U53">
        <v>1</v>
      </c>
      <c r="Y53" s="1">
        <f t="shared" si="1"/>
        <v>129.27104279813625</v>
      </c>
      <c r="Z53" s="14">
        <v>0.36699999999999999</v>
      </c>
      <c r="AA53" s="14"/>
    </row>
    <row r="54" spans="1:30">
      <c r="A54">
        <v>53</v>
      </c>
      <c r="B54" s="7" t="s">
        <v>87</v>
      </c>
      <c r="C54" s="7" t="s">
        <v>88</v>
      </c>
      <c r="D54" s="8" t="s">
        <v>35</v>
      </c>
      <c r="E54" s="17" t="s">
        <v>63</v>
      </c>
      <c r="F54" s="2" t="s">
        <v>441</v>
      </c>
      <c r="G54" s="17" t="s">
        <v>455</v>
      </c>
      <c r="H54" s="2" t="s">
        <v>442</v>
      </c>
      <c r="I54" s="2">
        <v>21</v>
      </c>
      <c r="J54" s="2" t="s">
        <v>428</v>
      </c>
      <c r="K54" s="2" t="s">
        <v>424</v>
      </c>
      <c r="L54" s="2" t="s">
        <v>434</v>
      </c>
      <c r="M54" s="2">
        <v>8</v>
      </c>
      <c r="N54" s="2" t="s">
        <v>446</v>
      </c>
      <c r="O54" s="3">
        <v>277400000000</v>
      </c>
      <c r="Q54" s="3">
        <v>84400000000</v>
      </c>
      <c r="R54" s="3">
        <v>54500000000</v>
      </c>
      <c r="S54" s="3">
        <v>31666666666.666668</v>
      </c>
      <c r="T54">
        <v>-1.0776636653047308E-2</v>
      </c>
      <c r="U54">
        <v>0.94463953036790338</v>
      </c>
      <c r="V54">
        <v>3.6156231514609767E-3</v>
      </c>
      <c r="W54">
        <v>-1.4392259804508284E-2</v>
      </c>
      <c r="X54">
        <v>-7.1610135015863314E-3</v>
      </c>
      <c r="Y54" s="1">
        <f t="shared" si="1"/>
        <v>105.97707780658456</v>
      </c>
      <c r="Z54" s="14">
        <v>0.36699999999999999</v>
      </c>
      <c r="AA54" s="14"/>
      <c r="AB54" s="2">
        <v>0.309</v>
      </c>
      <c r="AC54" s="2">
        <v>0.315</v>
      </c>
      <c r="AD54" s="2">
        <v>0.32500000000000001</v>
      </c>
    </row>
    <row r="55" spans="1:30">
      <c r="A55">
        <v>54</v>
      </c>
      <c r="B55" s="7" t="s">
        <v>90</v>
      </c>
      <c r="C55" s="7" t="s">
        <v>91</v>
      </c>
      <c r="D55" s="8" t="s">
        <v>35</v>
      </c>
      <c r="E55" s="17" t="s">
        <v>54</v>
      </c>
      <c r="F55" s="2" t="s">
        <v>445</v>
      </c>
      <c r="G55" s="17" t="s">
        <v>455</v>
      </c>
      <c r="H55" s="2" t="s">
        <v>427</v>
      </c>
      <c r="I55" s="2">
        <v>4</v>
      </c>
      <c r="J55" s="2" t="s">
        <v>428</v>
      </c>
      <c r="K55" s="2" t="s">
        <v>424</v>
      </c>
      <c r="L55" s="2" t="s">
        <v>434</v>
      </c>
      <c r="M55" s="2">
        <v>8</v>
      </c>
      <c r="N55" s="2" t="s">
        <v>446</v>
      </c>
      <c r="O55" s="3">
        <v>414200000000</v>
      </c>
      <c r="Q55" s="3">
        <v>315400000000</v>
      </c>
      <c r="T55">
        <v>-4.2267287701624624E-3</v>
      </c>
      <c r="U55">
        <v>0.9999999999999698</v>
      </c>
      <c r="Y55" s="1">
        <f t="shared" si="1"/>
        <v>311.39450162610336</v>
      </c>
      <c r="Z55" s="14">
        <v>0.1</v>
      </c>
      <c r="AA55" s="14"/>
    </row>
    <row r="56" spans="1:30">
      <c r="A56">
        <v>55</v>
      </c>
      <c r="B56" s="7" t="s">
        <v>90</v>
      </c>
      <c r="C56" s="7" t="s">
        <v>91</v>
      </c>
      <c r="D56" s="8" t="s">
        <v>35</v>
      </c>
      <c r="E56" s="17" t="s">
        <v>54</v>
      </c>
      <c r="F56" s="2" t="s">
        <v>454</v>
      </c>
      <c r="G56" s="17" t="s">
        <v>455</v>
      </c>
      <c r="H56" s="2" t="s">
        <v>442</v>
      </c>
      <c r="I56" s="2">
        <v>4</v>
      </c>
      <c r="J56" s="2" t="s">
        <v>428</v>
      </c>
      <c r="K56" s="2" t="s">
        <v>424</v>
      </c>
      <c r="L56" s="2" t="s">
        <v>434</v>
      </c>
      <c r="M56" s="2">
        <v>8</v>
      </c>
      <c r="N56" s="2" t="s">
        <v>446</v>
      </c>
      <c r="O56" s="3">
        <v>231800000000</v>
      </c>
      <c r="Q56" s="3">
        <v>157320000000</v>
      </c>
      <c r="T56">
        <v>-6.0117676389237684E-3</v>
      </c>
      <c r="U56">
        <v>0.99999999999997891</v>
      </c>
      <c r="Y56" s="1">
        <f t="shared" si="1"/>
        <v>177.0000937950571</v>
      </c>
      <c r="Z56" s="14">
        <v>0.36799999999999999</v>
      </c>
      <c r="AA56" s="14"/>
    </row>
    <row r="57" spans="1:30">
      <c r="A57">
        <v>56</v>
      </c>
      <c r="B57" s="7" t="s">
        <v>90</v>
      </c>
      <c r="C57" s="7" t="s">
        <v>91</v>
      </c>
      <c r="D57" s="8" t="s">
        <v>35</v>
      </c>
      <c r="E57" s="17" t="s">
        <v>54</v>
      </c>
      <c r="F57" s="2" t="s">
        <v>441</v>
      </c>
      <c r="G57" s="17" t="s">
        <v>455</v>
      </c>
      <c r="H57" s="2" t="s">
        <v>442</v>
      </c>
      <c r="I57" s="2">
        <v>21</v>
      </c>
      <c r="J57" s="2" t="s">
        <v>428</v>
      </c>
      <c r="K57" s="2" t="s">
        <v>424</v>
      </c>
      <c r="L57" s="2" t="s">
        <v>434</v>
      </c>
      <c r="M57" s="2">
        <v>8</v>
      </c>
      <c r="N57" s="2" t="s">
        <v>446</v>
      </c>
      <c r="O57" s="3">
        <v>231800000000</v>
      </c>
      <c r="Q57" s="3">
        <v>46400000000</v>
      </c>
      <c r="T57">
        <v>-2.4949837538310572E-2</v>
      </c>
      <c r="U57">
        <v>1</v>
      </c>
      <c r="Y57" s="1">
        <f t="shared" si="1"/>
        <v>42.648912415950278</v>
      </c>
      <c r="Z57" s="14">
        <v>0.36799999999999999</v>
      </c>
      <c r="AA57" s="14"/>
      <c r="AB57" s="2">
        <v>0.28899999999999998</v>
      </c>
    </row>
    <row r="58" spans="1:30">
      <c r="A58">
        <v>57</v>
      </c>
      <c r="B58" s="7" t="s">
        <v>92</v>
      </c>
      <c r="C58" s="7" t="s">
        <v>93</v>
      </c>
      <c r="D58" s="8" t="s">
        <v>61</v>
      </c>
      <c r="E58" s="17" t="s">
        <v>63</v>
      </c>
      <c r="F58" s="2" t="s">
        <v>445</v>
      </c>
      <c r="G58" s="17" t="s">
        <v>455</v>
      </c>
      <c r="H58" s="2" t="s">
        <v>427</v>
      </c>
      <c r="I58" s="2">
        <v>4</v>
      </c>
      <c r="J58" s="2" t="s">
        <v>428</v>
      </c>
      <c r="K58" s="2" t="s">
        <v>424</v>
      </c>
      <c r="L58" s="2" t="s">
        <v>434</v>
      </c>
      <c r="M58" s="2">
        <v>8</v>
      </c>
      <c r="N58" s="2" t="s">
        <v>446</v>
      </c>
      <c r="O58" s="3">
        <v>98800000000</v>
      </c>
      <c r="Q58" s="3">
        <v>86640000000</v>
      </c>
      <c r="T58">
        <v>-2.0370893203701108E-3</v>
      </c>
      <c r="U58">
        <v>0.99999999999993761</v>
      </c>
      <c r="Y58" s="1">
        <f t="shared" si="1"/>
        <v>340.54812520327118</v>
      </c>
      <c r="Z58" s="14" t="s">
        <v>49</v>
      </c>
      <c r="AA58" s="14"/>
    </row>
    <row r="59" spans="1:30">
      <c r="A59">
        <v>58</v>
      </c>
      <c r="B59" s="7" t="s">
        <v>92</v>
      </c>
      <c r="C59" s="7" t="s">
        <v>93</v>
      </c>
      <c r="D59" s="8" t="s">
        <v>61</v>
      </c>
      <c r="E59" s="17" t="s">
        <v>63</v>
      </c>
      <c r="F59" s="2" t="s">
        <v>454</v>
      </c>
      <c r="G59" s="17" t="s">
        <v>455</v>
      </c>
      <c r="H59" s="2" t="s">
        <v>442</v>
      </c>
      <c r="I59" s="2">
        <v>4</v>
      </c>
      <c r="J59" s="2" t="s">
        <v>428</v>
      </c>
      <c r="K59" s="2" t="s">
        <v>424</v>
      </c>
      <c r="L59" s="2" t="s">
        <v>434</v>
      </c>
      <c r="M59" s="2">
        <v>8</v>
      </c>
      <c r="N59" s="2" t="s">
        <v>446</v>
      </c>
      <c r="O59" s="3">
        <v>39520000000</v>
      </c>
      <c r="Q59" s="3">
        <v>64220000000</v>
      </c>
      <c r="T59">
        <v>7.5304773326747773E-3</v>
      </c>
      <c r="U59">
        <v>1</v>
      </c>
      <c r="Y59" s="1">
        <f t="shared" si="1"/>
        <v>-39.278644259134623</v>
      </c>
      <c r="Z59" s="14">
        <v>0.34300000000000003</v>
      </c>
      <c r="AA59" s="14"/>
    </row>
    <row r="60" spans="1:30">
      <c r="A60">
        <v>59</v>
      </c>
      <c r="B60" s="7" t="s">
        <v>92</v>
      </c>
      <c r="C60" s="7" t="s">
        <v>93</v>
      </c>
      <c r="D60" s="8" t="s">
        <v>61</v>
      </c>
      <c r="E60" s="17" t="s">
        <v>63</v>
      </c>
      <c r="F60" s="2" t="s">
        <v>441</v>
      </c>
      <c r="G60" s="17" t="s">
        <v>455</v>
      </c>
      <c r="H60" s="2" t="s">
        <v>442</v>
      </c>
      <c r="I60" s="2">
        <v>21</v>
      </c>
      <c r="J60" s="2" t="s">
        <v>428</v>
      </c>
      <c r="K60" s="2" t="s">
        <v>424</v>
      </c>
      <c r="L60" s="2" t="s">
        <v>434</v>
      </c>
      <c r="M60" s="2">
        <v>8</v>
      </c>
      <c r="N60" s="2" t="s">
        <v>446</v>
      </c>
      <c r="O60" s="3">
        <v>39520000000</v>
      </c>
      <c r="Q60" s="3">
        <v>26200000000</v>
      </c>
      <c r="R60" s="3">
        <v>11400000000</v>
      </c>
      <c r="S60" s="3">
        <v>8022222222.2222233</v>
      </c>
      <c r="T60">
        <v>-8.7105827976396485E-3</v>
      </c>
      <c r="U60">
        <v>0.97432418294076484</v>
      </c>
      <c r="V60">
        <v>1.9597050049891588E-3</v>
      </c>
      <c r="W60">
        <v>-1.0670287802628808E-2</v>
      </c>
      <c r="X60">
        <v>-6.7508777926504893E-3</v>
      </c>
      <c r="Y60" s="1">
        <f t="shared" si="1"/>
        <v>33.957192890900536</v>
      </c>
      <c r="Z60" s="14">
        <v>0.34300000000000003</v>
      </c>
      <c r="AA60" s="14"/>
      <c r="AB60" s="2">
        <v>0.30599999999999999</v>
      </c>
      <c r="AC60" s="2">
        <v>0.29399999999999998</v>
      </c>
      <c r="AD60" s="2">
        <v>0.314</v>
      </c>
    </row>
    <row r="61" spans="1:30">
      <c r="A61">
        <v>60</v>
      </c>
      <c r="B61" s="19" t="s">
        <v>94</v>
      </c>
      <c r="C61" s="17" t="s">
        <v>95</v>
      </c>
      <c r="D61" s="18" t="s">
        <v>35</v>
      </c>
      <c r="E61" s="17" t="s">
        <v>54</v>
      </c>
      <c r="F61" s="2" t="s">
        <v>445</v>
      </c>
      <c r="G61" s="17" t="s">
        <v>456</v>
      </c>
      <c r="H61" s="2" t="s">
        <v>427</v>
      </c>
      <c r="I61" s="2">
        <v>4</v>
      </c>
      <c r="J61" s="2" t="s">
        <v>428</v>
      </c>
      <c r="K61" s="2" t="s">
        <v>424</v>
      </c>
      <c r="L61" s="2" t="s">
        <v>434</v>
      </c>
      <c r="M61" s="2">
        <v>8</v>
      </c>
      <c r="N61" s="2" t="s">
        <v>446</v>
      </c>
      <c r="O61" s="23">
        <v>330600000000</v>
      </c>
      <c r="P61" s="23"/>
      <c r="T61"/>
      <c r="U61"/>
      <c r="Y61" s="1" t="e">
        <f t="shared" si="1"/>
        <v>#DIV/0!</v>
      </c>
      <c r="Z61" s="13">
        <v>0.05</v>
      </c>
    </row>
    <row r="62" spans="1:30">
      <c r="A62">
        <v>61</v>
      </c>
      <c r="B62" s="19" t="s">
        <v>94</v>
      </c>
      <c r="C62" s="17" t="s">
        <v>95</v>
      </c>
      <c r="D62" s="18" t="s">
        <v>35</v>
      </c>
      <c r="E62" s="17" t="s">
        <v>54</v>
      </c>
      <c r="F62" s="2" t="s">
        <v>454</v>
      </c>
      <c r="G62" s="17" t="s">
        <v>456</v>
      </c>
      <c r="H62" s="2" t="s">
        <v>442</v>
      </c>
      <c r="I62" s="2">
        <v>4</v>
      </c>
      <c r="J62" s="2" t="s">
        <v>428</v>
      </c>
      <c r="K62" s="2" t="s">
        <v>424</v>
      </c>
      <c r="L62" s="2" t="s">
        <v>434</v>
      </c>
      <c r="M62" s="2">
        <v>8</v>
      </c>
      <c r="N62" s="2" t="s">
        <v>446</v>
      </c>
      <c r="O62" s="23">
        <v>224200000000</v>
      </c>
      <c r="P62" s="23"/>
      <c r="T62"/>
      <c r="U62"/>
      <c r="Y62" s="1" t="e">
        <f t="shared" si="1"/>
        <v>#DIV/0!</v>
      </c>
      <c r="Z62" s="13">
        <v>0.21299999999999999</v>
      </c>
    </row>
    <row r="63" spans="1:30">
      <c r="A63">
        <v>62</v>
      </c>
      <c r="B63" s="19" t="s">
        <v>94</v>
      </c>
      <c r="C63" s="17" t="s">
        <v>95</v>
      </c>
      <c r="D63" s="18" t="s">
        <v>35</v>
      </c>
      <c r="E63" s="17" t="s">
        <v>54</v>
      </c>
      <c r="F63" s="2" t="s">
        <v>441</v>
      </c>
      <c r="G63" s="17" t="s">
        <v>456</v>
      </c>
      <c r="H63" s="2" t="s">
        <v>442</v>
      </c>
      <c r="I63" s="2">
        <v>21</v>
      </c>
      <c r="J63" s="2" t="s">
        <v>428</v>
      </c>
      <c r="K63" s="2" t="s">
        <v>424</v>
      </c>
      <c r="L63" s="2" t="s">
        <v>434</v>
      </c>
      <c r="M63" s="2">
        <v>8</v>
      </c>
      <c r="N63" s="2" t="s">
        <v>446</v>
      </c>
      <c r="O63" s="23">
        <v>224200000000</v>
      </c>
      <c r="P63" s="23"/>
      <c r="Q63" s="3">
        <v>12540000000</v>
      </c>
      <c r="T63">
        <v>-4.4726359705866262E-2</v>
      </c>
      <c r="U63">
        <v>0.99999999999999711</v>
      </c>
      <c r="Y63" s="1">
        <f t="shared" si="1"/>
        <v>23.467271190803135</v>
      </c>
      <c r="Z63" s="13">
        <v>0.21299999999999999</v>
      </c>
      <c r="AB63" s="2">
        <v>0.27100000000000002</v>
      </c>
    </row>
    <row r="64" spans="1:30">
      <c r="A64">
        <v>63</v>
      </c>
      <c r="B64" s="19" t="s">
        <v>101</v>
      </c>
      <c r="C64" s="17" t="s">
        <v>102</v>
      </c>
      <c r="D64" s="18" t="s">
        <v>35</v>
      </c>
      <c r="E64" s="17" t="s">
        <v>63</v>
      </c>
      <c r="F64" s="2" t="s">
        <v>441</v>
      </c>
      <c r="G64" s="17" t="s">
        <v>105</v>
      </c>
      <c r="H64" s="2" t="s">
        <v>442</v>
      </c>
      <c r="I64" s="2">
        <v>21</v>
      </c>
      <c r="J64" s="2" t="s">
        <v>428</v>
      </c>
      <c r="K64" s="2" t="s">
        <v>424</v>
      </c>
      <c r="L64" s="2" t="s">
        <v>434</v>
      </c>
      <c r="M64" s="2">
        <v>8</v>
      </c>
      <c r="N64" s="2" t="s">
        <v>446</v>
      </c>
      <c r="O64" s="23">
        <v>558600000000</v>
      </c>
      <c r="P64" s="23"/>
      <c r="Q64" s="3">
        <v>266000000000</v>
      </c>
      <c r="R64" s="3">
        <v>88666666666.666687</v>
      </c>
      <c r="S64" s="3">
        <v>49822222222.222229</v>
      </c>
      <c r="T64">
        <v>-1.2950552733442131E-2</v>
      </c>
      <c r="U64">
        <v>0.98712367893400843</v>
      </c>
      <c r="V64">
        <v>2.0498945059815444E-3</v>
      </c>
      <c r="W64">
        <v>-1.5000447239423675E-2</v>
      </c>
      <c r="X64">
        <v>-1.0900658227460586E-2</v>
      </c>
      <c r="Y64" s="1">
        <f t="shared" si="1"/>
        <v>111.66094339485801</v>
      </c>
      <c r="Z64" s="13">
        <v>0.314</v>
      </c>
      <c r="AB64" s="2">
        <v>0.2</v>
      </c>
      <c r="AC64" s="2">
        <v>0.28799999999999998</v>
      </c>
      <c r="AD64" s="2">
        <v>0.30599999999999999</v>
      </c>
    </row>
    <row r="65" spans="1:30">
      <c r="A65">
        <v>64</v>
      </c>
      <c r="B65" s="19" t="s">
        <v>101</v>
      </c>
      <c r="C65" s="17" t="s">
        <v>102</v>
      </c>
      <c r="D65" s="18" t="s">
        <v>35</v>
      </c>
      <c r="E65" s="17" t="s">
        <v>63</v>
      </c>
      <c r="F65" s="2" t="s">
        <v>445</v>
      </c>
      <c r="G65" s="17" t="s">
        <v>105</v>
      </c>
      <c r="H65" s="2" t="s">
        <v>427</v>
      </c>
      <c r="I65" s="2">
        <v>4</v>
      </c>
      <c r="J65" s="2" t="s">
        <v>428</v>
      </c>
      <c r="K65" s="2" t="s">
        <v>424</v>
      </c>
      <c r="L65" s="2" t="s">
        <v>434</v>
      </c>
      <c r="M65" s="2">
        <v>8</v>
      </c>
      <c r="N65" s="2" t="s">
        <v>446</v>
      </c>
      <c r="O65" s="23">
        <v>733400000000</v>
      </c>
      <c r="P65" s="23"/>
      <c r="T65"/>
      <c r="U65"/>
      <c r="Y65" s="1" t="e">
        <f t="shared" si="1"/>
        <v>#DIV/0!</v>
      </c>
      <c r="Z65" s="13">
        <v>0.13</v>
      </c>
    </row>
    <row r="66" spans="1:30">
      <c r="A66">
        <v>65</v>
      </c>
      <c r="B66" s="19" t="s">
        <v>101</v>
      </c>
      <c r="C66" s="17" t="s">
        <v>102</v>
      </c>
      <c r="D66" s="18" t="s">
        <v>35</v>
      </c>
      <c r="E66" s="17" t="s">
        <v>63</v>
      </c>
      <c r="F66" s="2" t="s">
        <v>454</v>
      </c>
      <c r="G66" s="17" t="s">
        <v>105</v>
      </c>
      <c r="H66" s="2" t="s">
        <v>442</v>
      </c>
      <c r="I66" s="2">
        <v>4</v>
      </c>
      <c r="J66" s="2" t="s">
        <v>428</v>
      </c>
      <c r="K66" s="2" t="s">
        <v>424</v>
      </c>
      <c r="L66" s="2" t="s">
        <v>434</v>
      </c>
      <c r="M66" s="2">
        <v>8</v>
      </c>
      <c r="N66" s="2" t="s">
        <v>446</v>
      </c>
      <c r="O66" s="23">
        <v>558600000000</v>
      </c>
      <c r="P66" s="23"/>
      <c r="T66"/>
      <c r="U66"/>
      <c r="Y66" s="1" t="e">
        <f t="shared" ref="Y66:Y97" si="2">(LOG(20000000000)-LOG(O66))/T66</f>
        <v>#DIV/0!</v>
      </c>
      <c r="Z66" s="13">
        <v>0.314</v>
      </c>
    </row>
    <row r="67" spans="1:30" ht="16">
      <c r="A67">
        <v>66</v>
      </c>
      <c r="B67" s="19" t="s">
        <v>107</v>
      </c>
      <c r="C67" s="17" t="s">
        <v>108</v>
      </c>
      <c r="D67" s="18" t="s">
        <v>61</v>
      </c>
      <c r="E67" s="17" t="s">
        <v>63</v>
      </c>
      <c r="F67" s="2" t="s">
        <v>441</v>
      </c>
      <c r="G67" s="21" t="s">
        <v>457</v>
      </c>
      <c r="H67" s="2" t="s">
        <v>442</v>
      </c>
      <c r="I67" s="2">
        <v>21</v>
      </c>
      <c r="J67" s="2" t="s">
        <v>428</v>
      </c>
      <c r="K67" s="2" t="s">
        <v>424</v>
      </c>
      <c r="L67" s="2" t="s">
        <v>434</v>
      </c>
      <c r="M67" s="2">
        <v>8</v>
      </c>
      <c r="N67" s="2" t="s">
        <v>446</v>
      </c>
      <c r="O67" s="23">
        <v>85500000000</v>
      </c>
      <c r="P67" s="23"/>
      <c r="Q67" s="3">
        <v>32300000000</v>
      </c>
      <c r="R67" s="3">
        <v>12223333333.333336</v>
      </c>
      <c r="S67" s="3">
        <v>5235555555.5555573</v>
      </c>
      <c r="T67">
        <v>-1.450365319376971E-2</v>
      </c>
      <c r="U67">
        <v>0.99892886491545019</v>
      </c>
      <c r="V67">
        <v>6.5821131037614332E-4</v>
      </c>
      <c r="W67">
        <v>-1.5161864504145854E-2</v>
      </c>
      <c r="X67">
        <v>-1.3845441883393567E-2</v>
      </c>
      <c r="Y67" s="1">
        <f t="shared" si="2"/>
        <v>43.501875743638223</v>
      </c>
      <c r="Z67" s="13">
        <v>0.29099999999999998</v>
      </c>
      <c r="AB67" s="2">
        <v>0.29199999999999998</v>
      </c>
      <c r="AC67" s="2">
        <v>0.28199999999999997</v>
      </c>
      <c r="AD67" s="2">
        <v>0.30299999999999999</v>
      </c>
    </row>
    <row r="68" spans="1:30" ht="16">
      <c r="A68">
        <v>67</v>
      </c>
      <c r="B68" s="19" t="s">
        <v>107</v>
      </c>
      <c r="C68" s="17" t="s">
        <v>108</v>
      </c>
      <c r="D68" s="18" t="s">
        <v>61</v>
      </c>
      <c r="E68" s="17" t="s">
        <v>63</v>
      </c>
      <c r="F68" s="2" t="s">
        <v>445</v>
      </c>
      <c r="G68" s="21" t="s">
        <v>457</v>
      </c>
      <c r="H68" s="2" t="s">
        <v>427</v>
      </c>
      <c r="I68" s="2">
        <v>4</v>
      </c>
      <c r="J68" s="2" t="s">
        <v>428</v>
      </c>
      <c r="K68" s="2" t="s">
        <v>424</v>
      </c>
      <c r="L68" s="2" t="s">
        <v>434</v>
      </c>
      <c r="M68" s="2">
        <v>8</v>
      </c>
      <c r="N68" s="2" t="s">
        <v>446</v>
      </c>
      <c r="O68" s="23">
        <v>136800000000</v>
      </c>
      <c r="P68" s="23"/>
      <c r="T68"/>
      <c r="U68"/>
      <c r="Y68" s="1" t="e">
        <f t="shared" si="2"/>
        <v>#DIV/0!</v>
      </c>
      <c r="Z68" s="13">
        <v>7.0000000000000007E-2</v>
      </c>
    </row>
    <row r="69" spans="1:30" ht="16">
      <c r="A69">
        <v>68</v>
      </c>
      <c r="B69" s="19" t="s">
        <v>107</v>
      </c>
      <c r="C69" s="17" t="s">
        <v>108</v>
      </c>
      <c r="D69" s="18" t="s">
        <v>61</v>
      </c>
      <c r="E69" s="17" t="s">
        <v>63</v>
      </c>
      <c r="F69" s="2" t="s">
        <v>454</v>
      </c>
      <c r="G69" s="21" t="s">
        <v>457</v>
      </c>
      <c r="H69" s="2" t="s">
        <v>442</v>
      </c>
      <c r="I69" s="2">
        <v>4</v>
      </c>
      <c r="J69" s="2" t="s">
        <v>428</v>
      </c>
      <c r="K69" s="2" t="s">
        <v>424</v>
      </c>
      <c r="L69" s="2" t="s">
        <v>434</v>
      </c>
      <c r="M69" s="2">
        <v>8</v>
      </c>
      <c r="N69" s="2" t="s">
        <v>446</v>
      </c>
      <c r="O69" s="23">
        <v>85500000000</v>
      </c>
      <c r="P69" s="23"/>
      <c r="T69"/>
      <c r="U69"/>
      <c r="Y69" s="1" t="e">
        <f t="shared" si="2"/>
        <v>#DIV/0!</v>
      </c>
      <c r="Z69" s="13">
        <v>0.29099999999999998</v>
      </c>
    </row>
    <row r="70" spans="1:30">
      <c r="A70">
        <v>69</v>
      </c>
      <c r="B70" s="19" t="s">
        <v>112</v>
      </c>
      <c r="C70" s="17" t="s">
        <v>113</v>
      </c>
      <c r="D70" s="18" t="s">
        <v>35</v>
      </c>
      <c r="E70" s="17" t="s">
        <v>54</v>
      </c>
      <c r="F70" s="2" t="s">
        <v>441</v>
      </c>
      <c r="G70" s="17" t="s">
        <v>105</v>
      </c>
      <c r="H70" s="2" t="s">
        <v>442</v>
      </c>
      <c r="I70" s="2">
        <v>21</v>
      </c>
      <c r="J70" s="2" t="s">
        <v>428</v>
      </c>
      <c r="K70" s="2" t="s">
        <v>424</v>
      </c>
      <c r="L70" s="2" t="s">
        <v>434</v>
      </c>
      <c r="M70" s="2">
        <v>8</v>
      </c>
      <c r="N70" s="2" t="s">
        <v>446</v>
      </c>
      <c r="O70" s="23">
        <v>213940000000</v>
      </c>
      <c r="P70" s="23"/>
      <c r="Q70" s="3">
        <v>74100000000</v>
      </c>
      <c r="T70">
        <v>-1.6445492267458138E-2</v>
      </c>
      <c r="U70">
        <v>1</v>
      </c>
      <c r="Y70" s="1">
        <f t="shared" si="2"/>
        <v>62.586268569220564</v>
      </c>
      <c r="Z70" s="13">
        <v>0.27500000000000002</v>
      </c>
      <c r="AB70" s="2">
        <v>0.29099999999999998</v>
      </c>
    </row>
    <row r="71" spans="1:30">
      <c r="A71">
        <v>70</v>
      </c>
      <c r="B71" s="19" t="s">
        <v>112</v>
      </c>
      <c r="C71" s="17" t="s">
        <v>113</v>
      </c>
      <c r="D71" s="18" t="s">
        <v>35</v>
      </c>
      <c r="E71" s="17" t="s">
        <v>54</v>
      </c>
      <c r="F71" s="2" t="s">
        <v>445</v>
      </c>
      <c r="G71" s="17" t="s">
        <v>105</v>
      </c>
      <c r="H71" s="2" t="s">
        <v>427</v>
      </c>
      <c r="I71" s="2">
        <v>4</v>
      </c>
      <c r="J71" s="2" t="s">
        <v>428</v>
      </c>
      <c r="K71" s="2" t="s">
        <v>424</v>
      </c>
      <c r="L71" s="2" t="s">
        <v>434</v>
      </c>
      <c r="M71" s="2">
        <v>8</v>
      </c>
      <c r="N71" s="2" t="s">
        <v>446</v>
      </c>
      <c r="O71" s="23">
        <v>478800000000</v>
      </c>
      <c r="P71" s="23"/>
      <c r="T71"/>
      <c r="U71"/>
      <c r="Y71" s="1" t="e">
        <f t="shared" si="2"/>
        <v>#DIV/0!</v>
      </c>
      <c r="Z71" s="13">
        <v>0.08</v>
      </c>
    </row>
    <row r="72" spans="1:30">
      <c r="A72">
        <v>71</v>
      </c>
      <c r="B72" s="19" t="s">
        <v>112</v>
      </c>
      <c r="C72" s="17" t="s">
        <v>113</v>
      </c>
      <c r="D72" s="18" t="s">
        <v>35</v>
      </c>
      <c r="E72" s="17" t="s">
        <v>54</v>
      </c>
      <c r="F72" s="2" t="s">
        <v>454</v>
      </c>
      <c r="G72" s="17" t="s">
        <v>105</v>
      </c>
      <c r="H72" s="2" t="s">
        <v>442</v>
      </c>
      <c r="I72" s="2">
        <v>4</v>
      </c>
      <c r="J72" s="2" t="s">
        <v>428</v>
      </c>
      <c r="K72" s="2" t="s">
        <v>424</v>
      </c>
      <c r="L72" s="2" t="s">
        <v>434</v>
      </c>
      <c r="M72" s="2">
        <v>8</v>
      </c>
      <c r="N72" s="2" t="s">
        <v>446</v>
      </c>
      <c r="O72" s="23">
        <v>213940000000</v>
      </c>
      <c r="P72" s="23"/>
      <c r="T72"/>
      <c r="U72"/>
      <c r="Y72" s="1" t="e">
        <f t="shared" si="2"/>
        <v>#DIV/0!</v>
      </c>
      <c r="Z72" s="13">
        <v>0.27500000000000002</v>
      </c>
    </row>
    <row r="73" spans="1:30" ht="16">
      <c r="A73">
        <v>72</v>
      </c>
      <c r="B73" s="19" t="s">
        <v>115</v>
      </c>
      <c r="C73" s="17" t="s">
        <v>116</v>
      </c>
      <c r="D73" s="18" t="s">
        <v>61</v>
      </c>
      <c r="E73" s="17" t="s">
        <v>54</v>
      </c>
      <c r="F73" s="2" t="s">
        <v>441</v>
      </c>
      <c r="G73" s="21" t="s">
        <v>457</v>
      </c>
      <c r="H73" s="2" t="s">
        <v>442</v>
      </c>
      <c r="I73" s="2">
        <v>21</v>
      </c>
      <c r="J73" s="2" t="s">
        <v>428</v>
      </c>
      <c r="K73" s="2" t="s">
        <v>424</v>
      </c>
      <c r="L73" s="2" t="s">
        <v>434</v>
      </c>
      <c r="M73" s="2">
        <v>8</v>
      </c>
      <c r="N73" s="2" t="s">
        <v>446</v>
      </c>
      <c r="O73" s="23">
        <v>80940000000</v>
      </c>
      <c r="P73" s="23"/>
      <c r="Q73" s="3">
        <v>14060000000</v>
      </c>
      <c r="T73">
        <v>-2.7149209977562205E-2</v>
      </c>
      <c r="U73">
        <v>1</v>
      </c>
      <c r="Y73" s="1">
        <f t="shared" si="2"/>
        <v>22.362831363908512</v>
      </c>
      <c r="Z73" s="13">
        <v>0.27400000000000002</v>
      </c>
      <c r="AB73" s="2">
        <v>0.27</v>
      </c>
    </row>
    <row r="74" spans="1:30" ht="16">
      <c r="A74">
        <v>73</v>
      </c>
      <c r="B74" s="19" t="s">
        <v>115</v>
      </c>
      <c r="C74" s="17" t="s">
        <v>116</v>
      </c>
      <c r="D74" s="18" t="s">
        <v>61</v>
      </c>
      <c r="E74" s="17" t="s">
        <v>54</v>
      </c>
      <c r="F74" s="2" t="s">
        <v>445</v>
      </c>
      <c r="G74" s="21" t="s">
        <v>457</v>
      </c>
      <c r="H74" s="2" t="s">
        <v>427</v>
      </c>
      <c r="I74" s="2">
        <v>4</v>
      </c>
      <c r="J74" s="2" t="s">
        <v>428</v>
      </c>
      <c r="K74" s="2" t="s">
        <v>424</v>
      </c>
      <c r="L74" s="2" t="s">
        <v>434</v>
      </c>
      <c r="M74" s="2">
        <v>8</v>
      </c>
      <c r="N74" s="2" t="s">
        <v>446</v>
      </c>
      <c r="O74" s="23">
        <v>109060000000</v>
      </c>
      <c r="P74" s="23"/>
      <c r="T74"/>
      <c r="U74"/>
      <c r="Y74" s="1" t="e">
        <f t="shared" si="2"/>
        <v>#DIV/0!</v>
      </c>
      <c r="Z74" s="13">
        <v>0.08</v>
      </c>
    </row>
    <row r="75" spans="1:30" ht="16">
      <c r="A75">
        <v>74</v>
      </c>
      <c r="B75" s="19" t="s">
        <v>115</v>
      </c>
      <c r="C75" s="17" t="s">
        <v>116</v>
      </c>
      <c r="D75" s="18" t="s">
        <v>61</v>
      </c>
      <c r="E75" s="17" t="s">
        <v>54</v>
      </c>
      <c r="F75" s="2" t="s">
        <v>454</v>
      </c>
      <c r="G75" s="21" t="s">
        <v>457</v>
      </c>
      <c r="H75" s="2" t="s">
        <v>442</v>
      </c>
      <c r="I75" s="2">
        <v>4</v>
      </c>
      <c r="J75" s="2" t="s">
        <v>428</v>
      </c>
      <c r="K75" s="2" t="s">
        <v>424</v>
      </c>
      <c r="L75" s="2" t="s">
        <v>434</v>
      </c>
      <c r="M75" s="2">
        <v>8</v>
      </c>
      <c r="N75" s="2" t="s">
        <v>446</v>
      </c>
      <c r="O75" s="23">
        <v>80940000000</v>
      </c>
      <c r="P75" s="23"/>
      <c r="T75"/>
      <c r="U75"/>
      <c r="Y75" s="1" t="e">
        <f t="shared" si="2"/>
        <v>#DIV/0!</v>
      </c>
      <c r="Z75" s="13">
        <v>0.27400000000000002</v>
      </c>
    </row>
    <row r="76" spans="1:30">
      <c r="A76">
        <v>75</v>
      </c>
      <c r="B76" s="19" t="s">
        <v>118</v>
      </c>
      <c r="C76" s="17" t="s">
        <v>119</v>
      </c>
      <c r="D76" s="18" t="s">
        <v>35</v>
      </c>
      <c r="E76" s="17" t="s">
        <v>63</v>
      </c>
      <c r="F76" s="2" t="s">
        <v>445</v>
      </c>
      <c r="G76" s="17" t="s">
        <v>456</v>
      </c>
      <c r="H76" s="2" t="s">
        <v>427</v>
      </c>
      <c r="I76" s="2">
        <v>4</v>
      </c>
      <c r="J76" s="2" t="s">
        <v>428</v>
      </c>
      <c r="K76" s="2" t="s">
        <v>424</v>
      </c>
      <c r="L76" s="2" t="s">
        <v>434</v>
      </c>
      <c r="M76" s="2">
        <v>8</v>
      </c>
      <c r="N76" s="2" t="s">
        <v>446</v>
      </c>
      <c r="O76" s="23">
        <v>418000000000</v>
      </c>
      <c r="P76" s="23"/>
      <c r="T76"/>
      <c r="U76"/>
      <c r="Y76" s="1" t="e">
        <f t="shared" si="2"/>
        <v>#DIV/0!</v>
      </c>
      <c r="Z76" s="13">
        <v>0.06</v>
      </c>
    </row>
    <row r="77" spans="1:30">
      <c r="A77">
        <v>76</v>
      </c>
      <c r="B77" s="19" t="s">
        <v>118</v>
      </c>
      <c r="C77" s="17" t="s">
        <v>119</v>
      </c>
      <c r="D77" s="18" t="s">
        <v>35</v>
      </c>
      <c r="E77" s="17" t="s">
        <v>63</v>
      </c>
      <c r="F77" s="2" t="s">
        <v>454</v>
      </c>
      <c r="G77" s="17" t="s">
        <v>456</v>
      </c>
      <c r="H77" s="2" t="s">
        <v>442</v>
      </c>
      <c r="I77" s="2">
        <v>4</v>
      </c>
      <c r="J77" s="2" t="s">
        <v>428</v>
      </c>
      <c r="K77" s="2" t="s">
        <v>424</v>
      </c>
      <c r="L77" s="2" t="s">
        <v>434</v>
      </c>
      <c r="M77" s="2">
        <v>8</v>
      </c>
      <c r="N77" s="2" t="s">
        <v>446</v>
      </c>
      <c r="O77" s="23">
        <v>235600000000</v>
      </c>
      <c r="P77" s="23"/>
      <c r="T77"/>
      <c r="U77"/>
      <c r="Y77" s="1" t="e">
        <f t="shared" si="2"/>
        <v>#DIV/0!</v>
      </c>
      <c r="Z77" s="13">
        <v>0.193</v>
      </c>
    </row>
    <row r="78" spans="1:30">
      <c r="A78">
        <v>77</v>
      </c>
      <c r="B78" s="19" t="s">
        <v>118</v>
      </c>
      <c r="C78" s="17" t="s">
        <v>119</v>
      </c>
      <c r="D78" s="18" t="s">
        <v>35</v>
      </c>
      <c r="E78" s="17" t="s">
        <v>63</v>
      </c>
      <c r="F78" s="2" t="s">
        <v>441</v>
      </c>
      <c r="G78" s="17" t="s">
        <v>456</v>
      </c>
      <c r="H78" s="2" t="s">
        <v>442</v>
      </c>
      <c r="I78" s="2">
        <v>21</v>
      </c>
      <c r="J78" s="2" t="s">
        <v>428</v>
      </c>
      <c r="K78" s="2" t="s">
        <v>424</v>
      </c>
      <c r="L78" s="2" t="s">
        <v>434</v>
      </c>
      <c r="M78" s="2">
        <v>8</v>
      </c>
      <c r="N78" s="2" t="s">
        <v>446</v>
      </c>
      <c r="O78" s="23">
        <v>235600000000</v>
      </c>
      <c r="P78" s="23"/>
      <c r="Q78" s="3">
        <v>22800000000</v>
      </c>
      <c r="T78">
        <v>-3.6222872825521765E-2</v>
      </c>
      <c r="U78">
        <v>0.99999999999999656</v>
      </c>
      <c r="Y78" s="1">
        <f t="shared" si="2"/>
        <v>29.570964611519713</v>
      </c>
      <c r="Z78" s="13">
        <v>0.193</v>
      </c>
      <c r="AB78" s="2">
        <v>0.217</v>
      </c>
    </row>
    <row r="79" spans="1:30">
      <c r="A79">
        <v>78</v>
      </c>
      <c r="B79" s="19" t="s">
        <v>121</v>
      </c>
      <c r="C79" s="17" t="s">
        <v>122</v>
      </c>
      <c r="D79" s="18" t="s">
        <v>35</v>
      </c>
      <c r="E79" s="17" t="s">
        <v>39</v>
      </c>
      <c r="F79" s="2" t="s">
        <v>441</v>
      </c>
      <c r="G79" s="17" t="s">
        <v>456</v>
      </c>
      <c r="H79" s="2" t="s">
        <v>442</v>
      </c>
      <c r="I79" s="2">
        <v>21</v>
      </c>
      <c r="J79" s="2" t="s">
        <v>428</v>
      </c>
      <c r="K79" s="2" t="s">
        <v>424</v>
      </c>
      <c r="L79" s="2" t="s">
        <v>434</v>
      </c>
      <c r="M79" s="2">
        <v>8</v>
      </c>
      <c r="N79" s="2" t="s">
        <v>446</v>
      </c>
      <c r="O79" s="23">
        <v>277400000000</v>
      </c>
      <c r="P79" s="23"/>
      <c r="Q79" s="3">
        <v>96900000000</v>
      </c>
      <c r="R79" s="3">
        <v>93100000000</v>
      </c>
      <c r="T79">
        <v>-8.4670852813557625E-3</v>
      </c>
      <c r="U79">
        <v>0.77744332072539468</v>
      </c>
      <c r="V79">
        <v>8.879080083066121E-3</v>
      </c>
      <c r="W79">
        <v>-1.7346165364421885E-2</v>
      </c>
      <c r="X79">
        <v>4.1199480171035842E-4</v>
      </c>
      <c r="Y79" s="1">
        <f t="shared" si="2"/>
        <v>134.88425156034506</v>
      </c>
      <c r="Z79" s="13">
        <v>0.30099999999999999</v>
      </c>
      <c r="AB79" s="2">
        <v>0.27</v>
      </c>
      <c r="AC79" s="2">
        <v>0.27800000000000002</v>
      </c>
    </row>
    <row r="80" spans="1:30">
      <c r="A80">
        <v>79</v>
      </c>
      <c r="B80" s="19" t="s">
        <v>121</v>
      </c>
      <c r="C80" s="17" t="s">
        <v>122</v>
      </c>
      <c r="D80" s="18" t="s">
        <v>35</v>
      </c>
      <c r="E80" s="17" t="s">
        <v>39</v>
      </c>
      <c r="F80" s="2" t="s">
        <v>445</v>
      </c>
      <c r="G80" s="17" t="s">
        <v>456</v>
      </c>
      <c r="H80" s="2" t="s">
        <v>427</v>
      </c>
      <c r="I80" s="2">
        <v>4</v>
      </c>
      <c r="J80" s="2" t="s">
        <v>428</v>
      </c>
      <c r="K80" s="2" t="s">
        <v>424</v>
      </c>
      <c r="L80" s="2" t="s">
        <v>434</v>
      </c>
      <c r="M80" s="2">
        <v>8</v>
      </c>
      <c r="N80" s="2" t="s">
        <v>446</v>
      </c>
      <c r="O80" s="23">
        <v>364800000000</v>
      </c>
      <c r="P80" s="23"/>
      <c r="T80"/>
      <c r="U80"/>
      <c r="Y80" s="1" t="e">
        <f t="shared" si="2"/>
        <v>#DIV/0!</v>
      </c>
      <c r="Z80" s="13">
        <v>0.24</v>
      </c>
    </row>
    <row r="81" spans="1:30">
      <c r="A81">
        <v>80</v>
      </c>
      <c r="B81" s="19" t="s">
        <v>121</v>
      </c>
      <c r="C81" s="17" t="s">
        <v>122</v>
      </c>
      <c r="D81" s="18" t="s">
        <v>35</v>
      </c>
      <c r="E81" s="17" t="s">
        <v>39</v>
      </c>
      <c r="F81" s="2" t="s">
        <v>454</v>
      </c>
      <c r="G81" s="17" t="s">
        <v>456</v>
      </c>
      <c r="H81" s="2" t="s">
        <v>442</v>
      </c>
      <c r="I81" s="2">
        <v>4</v>
      </c>
      <c r="J81" s="2" t="s">
        <v>428</v>
      </c>
      <c r="K81" s="2" t="s">
        <v>424</v>
      </c>
      <c r="L81" s="2" t="s">
        <v>434</v>
      </c>
      <c r="M81" s="2">
        <v>8</v>
      </c>
      <c r="N81" s="2" t="s">
        <v>446</v>
      </c>
      <c r="O81" s="23">
        <v>277400000000</v>
      </c>
      <c r="P81" s="23"/>
      <c r="T81"/>
      <c r="U81"/>
      <c r="Y81" s="1" t="e">
        <f t="shared" si="2"/>
        <v>#DIV/0!</v>
      </c>
      <c r="Z81" s="13">
        <v>0.30099999999999999</v>
      </c>
    </row>
    <row r="82" spans="1:30">
      <c r="A82">
        <v>81</v>
      </c>
      <c r="B82" s="19" t="s">
        <v>126</v>
      </c>
      <c r="C82" s="17" t="s">
        <v>127</v>
      </c>
      <c r="D82" s="18" t="s">
        <v>35</v>
      </c>
      <c r="E82" s="17" t="s">
        <v>39</v>
      </c>
      <c r="F82" s="2" t="s">
        <v>445</v>
      </c>
      <c r="G82" s="17" t="s">
        <v>105</v>
      </c>
      <c r="H82" s="2" t="s">
        <v>427</v>
      </c>
      <c r="I82" s="2">
        <v>4</v>
      </c>
      <c r="J82" s="2" t="s">
        <v>428</v>
      </c>
      <c r="K82" s="2" t="s">
        <v>424</v>
      </c>
      <c r="L82" s="2" t="s">
        <v>434</v>
      </c>
      <c r="M82" s="2">
        <v>8</v>
      </c>
      <c r="N82" s="2" t="s">
        <v>446</v>
      </c>
      <c r="O82" s="23">
        <v>562400000000</v>
      </c>
      <c r="P82" s="23"/>
      <c r="T82"/>
      <c r="U82"/>
      <c r="Y82" s="1" t="e">
        <f t="shared" si="2"/>
        <v>#DIV/0!</v>
      </c>
      <c r="Z82" s="13">
        <v>0.19</v>
      </c>
    </row>
    <row r="83" spans="1:30">
      <c r="A83">
        <v>82</v>
      </c>
      <c r="B83" s="19" t="s">
        <v>126</v>
      </c>
      <c r="C83" s="17" t="s">
        <v>127</v>
      </c>
      <c r="D83" s="18" t="s">
        <v>35</v>
      </c>
      <c r="E83" s="17" t="s">
        <v>39</v>
      </c>
      <c r="F83" s="2" t="s">
        <v>454</v>
      </c>
      <c r="G83" s="17" t="s">
        <v>105</v>
      </c>
      <c r="H83" s="2" t="s">
        <v>442</v>
      </c>
      <c r="I83" s="2">
        <v>4</v>
      </c>
      <c r="J83" s="2" t="s">
        <v>428</v>
      </c>
      <c r="K83" s="2" t="s">
        <v>424</v>
      </c>
      <c r="L83" s="2" t="s">
        <v>434</v>
      </c>
      <c r="M83" s="2">
        <v>8</v>
      </c>
      <c r="N83" s="2" t="s">
        <v>446</v>
      </c>
      <c r="O83" s="23">
        <v>231800000000</v>
      </c>
      <c r="P83" s="23"/>
      <c r="T83"/>
      <c r="U83"/>
      <c r="Y83" s="1" t="e">
        <f t="shared" si="2"/>
        <v>#DIV/0!</v>
      </c>
      <c r="Z83" s="13">
        <v>0.28299999999999997</v>
      </c>
    </row>
    <row r="84" spans="1:30">
      <c r="A84">
        <v>83</v>
      </c>
      <c r="B84" s="19" t="s">
        <v>126</v>
      </c>
      <c r="C84" s="17" t="s">
        <v>127</v>
      </c>
      <c r="D84" s="18" t="s">
        <v>35</v>
      </c>
      <c r="E84" s="17" t="s">
        <v>39</v>
      </c>
      <c r="F84" s="2" t="s">
        <v>441</v>
      </c>
      <c r="G84" s="17" t="s">
        <v>105</v>
      </c>
      <c r="H84" s="2" t="s">
        <v>442</v>
      </c>
      <c r="I84" s="2">
        <v>21</v>
      </c>
      <c r="J84" s="2" t="s">
        <v>428</v>
      </c>
      <c r="K84" s="2" t="s">
        <v>424</v>
      </c>
      <c r="L84" s="2" t="s">
        <v>434</v>
      </c>
      <c r="M84" s="2">
        <v>8</v>
      </c>
      <c r="N84" s="2" t="s">
        <v>446</v>
      </c>
      <c r="O84" s="23">
        <v>231800000000</v>
      </c>
      <c r="P84" s="23"/>
      <c r="Q84" s="3">
        <v>285000000000</v>
      </c>
      <c r="R84" s="3">
        <v>82966666666.666687</v>
      </c>
      <c r="S84" s="3">
        <v>56366666666.666672</v>
      </c>
      <c r="T84">
        <v>-8.4936230513145226E-3</v>
      </c>
      <c r="U84">
        <v>0.81085555662846009</v>
      </c>
      <c r="V84">
        <v>5.6852703477676455E-3</v>
      </c>
      <c r="W84">
        <v>-1.4178893399082168E-2</v>
      </c>
      <c r="X84">
        <v>-2.8083527035468771E-3</v>
      </c>
      <c r="Y84" s="1">
        <f t="shared" si="2"/>
        <v>125.28027551198099</v>
      </c>
      <c r="Z84" s="13">
        <v>0.28299999999999997</v>
      </c>
      <c r="AB84" s="2">
        <v>0.26</v>
      </c>
      <c r="AC84" s="2">
        <v>0.25700000000000001</v>
      </c>
      <c r="AD84" s="2">
        <v>0.27900000000000003</v>
      </c>
    </row>
    <row r="85" spans="1:30" ht="16">
      <c r="A85">
        <v>84</v>
      </c>
      <c r="B85" s="19" t="s">
        <v>129</v>
      </c>
      <c r="C85" s="17" t="s">
        <v>130</v>
      </c>
      <c r="D85" s="18" t="s">
        <v>61</v>
      </c>
      <c r="E85" s="17" t="s">
        <v>39</v>
      </c>
      <c r="F85" s="2" t="s">
        <v>445</v>
      </c>
      <c r="G85" s="21" t="s">
        <v>457</v>
      </c>
      <c r="H85" s="2" t="s">
        <v>427</v>
      </c>
      <c r="I85" s="2">
        <v>4</v>
      </c>
      <c r="J85" s="2" t="s">
        <v>428</v>
      </c>
      <c r="K85" s="2" t="s">
        <v>424</v>
      </c>
      <c r="L85" s="2" t="s">
        <v>434</v>
      </c>
      <c r="M85" s="2">
        <v>8</v>
      </c>
      <c r="N85" s="2" t="s">
        <v>446</v>
      </c>
      <c r="O85" s="23">
        <v>50920000000</v>
      </c>
      <c r="P85" s="23"/>
      <c r="T85"/>
      <c r="U85"/>
      <c r="Y85" s="1" t="e">
        <f t="shared" si="2"/>
        <v>#DIV/0!</v>
      </c>
      <c r="Z85" s="13">
        <v>0.08</v>
      </c>
    </row>
    <row r="86" spans="1:30" ht="16">
      <c r="A86">
        <v>85</v>
      </c>
      <c r="B86" s="19" t="s">
        <v>129</v>
      </c>
      <c r="C86" s="17" t="s">
        <v>130</v>
      </c>
      <c r="D86" s="18" t="s">
        <v>61</v>
      </c>
      <c r="E86" s="17" t="s">
        <v>39</v>
      </c>
      <c r="F86" s="2" t="s">
        <v>454</v>
      </c>
      <c r="G86" s="21" t="s">
        <v>457</v>
      </c>
      <c r="H86" s="2" t="s">
        <v>442</v>
      </c>
      <c r="I86" s="2">
        <v>4</v>
      </c>
      <c r="J86" s="2" t="s">
        <v>428</v>
      </c>
      <c r="K86" s="2" t="s">
        <v>424</v>
      </c>
      <c r="L86" s="2" t="s">
        <v>434</v>
      </c>
      <c r="M86" s="2">
        <v>8</v>
      </c>
      <c r="N86" s="2" t="s">
        <v>446</v>
      </c>
      <c r="O86" s="23">
        <v>40660000000</v>
      </c>
      <c r="P86" s="23"/>
      <c r="T86"/>
      <c r="U86"/>
      <c r="Y86" s="1" t="e">
        <f t="shared" si="2"/>
        <v>#DIV/0!</v>
      </c>
      <c r="Z86" s="13">
        <v>0.224</v>
      </c>
    </row>
    <row r="87" spans="1:30" ht="16">
      <c r="A87">
        <v>86</v>
      </c>
      <c r="B87" s="19" t="s">
        <v>129</v>
      </c>
      <c r="C87" s="17" t="s">
        <v>130</v>
      </c>
      <c r="D87" s="18" t="s">
        <v>61</v>
      </c>
      <c r="E87" s="17" t="s">
        <v>39</v>
      </c>
      <c r="F87" s="2" t="s">
        <v>441</v>
      </c>
      <c r="G87" s="21" t="s">
        <v>457</v>
      </c>
      <c r="H87" s="2" t="s">
        <v>442</v>
      </c>
      <c r="I87" s="2">
        <v>21</v>
      </c>
      <c r="J87" s="2" t="s">
        <v>428</v>
      </c>
      <c r="K87" s="2" t="s">
        <v>424</v>
      </c>
      <c r="L87" s="2" t="s">
        <v>434</v>
      </c>
      <c r="M87" s="2">
        <v>8</v>
      </c>
      <c r="N87" s="2" t="s">
        <v>446</v>
      </c>
      <c r="O87" s="23">
        <v>40660000000</v>
      </c>
      <c r="P87" s="23"/>
      <c r="Q87" s="3">
        <v>25080000000</v>
      </c>
      <c r="T87">
        <v>-7.4942800765478122E-3</v>
      </c>
      <c r="U87">
        <v>0.99999999999998301</v>
      </c>
      <c r="Y87" s="1">
        <f t="shared" si="2"/>
        <v>41.116341461844577</v>
      </c>
      <c r="Z87" s="13">
        <v>0.224</v>
      </c>
      <c r="AB87" s="2">
        <v>0.219</v>
      </c>
    </row>
    <row r="88" spans="1:30">
      <c r="A88">
        <v>87</v>
      </c>
      <c r="B88" s="19" t="s">
        <v>132</v>
      </c>
      <c r="C88" s="2" t="s">
        <v>458</v>
      </c>
      <c r="D88" s="18" t="s">
        <v>61</v>
      </c>
      <c r="E88" s="17" t="s">
        <v>63</v>
      </c>
      <c r="F88" s="2" t="s">
        <v>441</v>
      </c>
      <c r="G88" s="2" t="s">
        <v>459</v>
      </c>
      <c r="H88" s="2" t="s">
        <v>442</v>
      </c>
      <c r="I88" s="2">
        <v>21</v>
      </c>
      <c r="J88" s="2" t="s">
        <v>428</v>
      </c>
      <c r="K88" s="2" t="s">
        <v>424</v>
      </c>
      <c r="L88" s="2" t="s">
        <v>434</v>
      </c>
      <c r="M88" s="2">
        <v>8</v>
      </c>
      <c r="N88" s="2" t="s">
        <v>460</v>
      </c>
      <c r="O88" s="26">
        <v>104880000000</v>
      </c>
      <c r="P88" s="26"/>
      <c r="Q88" s="3">
        <v>68400000000</v>
      </c>
      <c r="R88" s="3">
        <v>30822222222.222221</v>
      </c>
      <c r="T88">
        <v>-9.4969416318586661E-3</v>
      </c>
      <c r="U88">
        <v>0.97051585211705038</v>
      </c>
      <c r="V88">
        <v>3.2443285889356354E-3</v>
      </c>
      <c r="W88">
        <v>-1.2741270220794302E-2</v>
      </c>
      <c r="X88">
        <v>-6.2526130429230303E-3</v>
      </c>
      <c r="Y88" s="1">
        <f t="shared" si="2"/>
        <v>75.778362225987522</v>
      </c>
      <c r="Z88" s="5">
        <v>0.29699999999999999</v>
      </c>
      <c r="AA88" s="5"/>
      <c r="AB88" s="2">
        <v>0.30499999999999999</v>
      </c>
      <c r="AC88" s="2">
        <v>0.25700000000000001</v>
      </c>
    </row>
    <row r="89" spans="1:30">
      <c r="A89">
        <v>88</v>
      </c>
      <c r="B89" s="19" t="s">
        <v>132</v>
      </c>
      <c r="C89" s="2" t="s">
        <v>458</v>
      </c>
      <c r="D89" s="18" t="s">
        <v>61</v>
      </c>
      <c r="E89" s="17" t="s">
        <v>63</v>
      </c>
      <c r="F89" s="2" t="s">
        <v>445</v>
      </c>
      <c r="G89" s="2" t="s">
        <v>459</v>
      </c>
      <c r="H89" s="2" t="s">
        <v>427</v>
      </c>
      <c r="I89" s="2">
        <v>4</v>
      </c>
      <c r="J89" s="2" t="s">
        <v>428</v>
      </c>
      <c r="K89" s="2" t="s">
        <v>424</v>
      </c>
      <c r="L89" s="2" t="s">
        <v>434</v>
      </c>
      <c r="M89" s="2">
        <v>8</v>
      </c>
      <c r="N89" s="2" t="s">
        <v>446</v>
      </c>
      <c r="O89" s="26">
        <v>143640000000</v>
      </c>
      <c r="P89" s="26"/>
      <c r="T89"/>
      <c r="U89"/>
      <c r="Y89" s="1" t="e">
        <f t="shared" si="2"/>
        <v>#DIV/0!</v>
      </c>
      <c r="Z89" s="5">
        <v>0.22</v>
      </c>
      <c r="AA89" s="5"/>
    </row>
    <row r="90" spans="1:30">
      <c r="A90">
        <v>89</v>
      </c>
      <c r="B90" s="19" t="s">
        <v>132</v>
      </c>
      <c r="C90" s="2" t="s">
        <v>458</v>
      </c>
      <c r="D90" s="18" t="s">
        <v>61</v>
      </c>
      <c r="E90" s="17" t="s">
        <v>63</v>
      </c>
      <c r="F90" s="2" t="s">
        <v>454</v>
      </c>
      <c r="G90" s="2" t="s">
        <v>459</v>
      </c>
      <c r="H90" s="2" t="s">
        <v>442</v>
      </c>
      <c r="I90" s="2">
        <v>4</v>
      </c>
      <c r="J90" s="2" t="s">
        <v>428</v>
      </c>
      <c r="K90" s="2" t="s">
        <v>424</v>
      </c>
      <c r="L90" s="2" t="s">
        <v>434</v>
      </c>
      <c r="M90" s="2">
        <v>8</v>
      </c>
      <c r="N90" s="2" t="s">
        <v>446</v>
      </c>
      <c r="O90" s="26">
        <v>104880000000</v>
      </c>
      <c r="P90" s="26"/>
      <c r="T90"/>
      <c r="U90"/>
      <c r="Y90" s="1" t="e">
        <f t="shared" si="2"/>
        <v>#DIV/0!</v>
      </c>
      <c r="Z90" s="5">
        <v>0.29699999999999999</v>
      </c>
      <c r="AA90" s="5"/>
    </row>
    <row r="91" spans="1:30">
      <c r="A91">
        <v>90</v>
      </c>
      <c r="B91" s="19" t="s">
        <v>139</v>
      </c>
      <c r="C91" s="2" t="s">
        <v>461</v>
      </c>
      <c r="D91" s="18" t="s">
        <v>61</v>
      </c>
      <c r="E91" s="2" t="s">
        <v>54</v>
      </c>
      <c r="F91" s="2" t="s">
        <v>441</v>
      </c>
      <c r="G91" s="2" t="s">
        <v>459</v>
      </c>
      <c r="H91" s="2" t="s">
        <v>442</v>
      </c>
      <c r="I91" s="2">
        <v>21</v>
      </c>
      <c r="J91" s="2" t="s">
        <v>428</v>
      </c>
      <c r="K91" s="2" t="s">
        <v>424</v>
      </c>
      <c r="L91" s="2" t="s">
        <v>434</v>
      </c>
      <c r="M91" s="2">
        <v>8</v>
      </c>
      <c r="N91" s="2" t="s">
        <v>460</v>
      </c>
      <c r="O91" s="26">
        <v>99180000000</v>
      </c>
      <c r="P91" s="26"/>
      <c r="Q91" s="3">
        <v>41166666666.666672</v>
      </c>
      <c r="T91">
        <v>-1.3638514324252463E-2</v>
      </c>
      <c r="U91">
        <v>1</v>
      </c>
      <c r="Y91" s="1">
        <f t="shared" si="2"/>
        <v>50.987526335954101</v>
      </c>
      <c r="Z91" s="5">
        <v>0.28899999999999998</v>
      </c>
      <c r="AA91" s="5"/>
      <c r="AB91" s="2">
        <v>0.30099999999999999</v>
      </c>
    </row>
    <row r="92" spans="1:30">
      <c r="A92">
        <v>91</v>
      </c>
      <c r="B92" s="19" t="s">
        <v>139</v>
      </c>
      <c r="C92" s="2" t="s">
        <v>461</v>
      </c>
      <c r="D92" s="18" t="s">
        <v>61</v>
      </c>
      <c r="E92" s="2" t="s">
        <v>54</v>
      </c>
      <c r="F92" s="2" t="s">
        <v>445</v>
      </c>
      <c r="G92" s="2" t="s">
        <v>459</v>
      </c>
      <c r="H92" s="2" t="s">
        <v>427</v>
      </c>
      <c r="I92" s="2">
        <v>4</v>
      </c>
      <c r="J92" s="2" t="s">
        <v>428</v>
      </c>
      <c r="K92" s="2" t="s">
        <v>424</v>
      </c>
      <c r="L92" s="2" t="s">
        <v>434</v>
      </c>
      <c r="M92" s="2">
        <v>8</v>
      </c>
      <c r="N92" s="2" t="s">
        <v>446</v>
      </c>
      <c r="O92" s="26">
        <v>110580000000</v>
      </c>
      <c r="P92" s="26"/>
      <c r="T92"/>
      <c r="U92"/>
      <c r="Y92" s="1" t="e">
        <f t="shared" si="2"/>
        <v>#DIV/0!</v>
      </c>
      <c r="Z92" s="5">
        <v>0.2</v>
      </c>
      <c r="AA92" s="5"/>
    </row>
    <row r="93" spans="1:30">
      <c r="A93">
        <v>92</v>
      </c>
      <c r="B93" s="19" t="s">
        <v>139</v>
      </c>
      <c r="C93" s="2" t="s">
        <v>461</v>
      </c>
      <c r="D93" s="18" t="s">
        <v>61</v>
      </c>
      <c r="E93" s="2" t="s">
        <v>54</v>
      </c>
      <c r="F93" s="2" t="s">
        <v>454</v>
      </c>
      <c r="G93" s="2" t="s">
        <v>459</v>
      </c>
      <c r="H93" s="2" t="s">
        <v>442</v>
      </c>
      <c r="I93" s="2">
        <v>4</v>
      </c>
      <c r="J93" s="2" t="s">
        <v>428</v>
      </c>
      <c r="K93" s="2" t="s">
        <v>424</v>
      </c>
      <c r="L93" s="2" t="s">
        <v>434</v>
      </c>
      <c r="M93" s="2">
        <v>8</v>
      </c>
      <c r="N93" s="2" t="s">
        <v>446</v>
      </c>
      <c r="O93" s="26">
        <v>99180000000</v>
      </c>
      <c r="P93" s="26"/>
      <c r="T93"/>
      <c r="U93"/>
      <c r="Y93" s="1" t="e">
        <f t="shared" si="2"/>
        <v>#DIV/0!</v>
      </c>
      <c r="Z93" s="5">
        <v>0.28899999999999998</v>
      </c>
      <c r="AA93" s="5"/>
    </row>
    <row r="94" spans="1:30">
      <c r="A94">
        <v>93</v>
      </c>
      <c r="B94" s="19" t="s">
        <v>142</v>
      </c>
      <c r="C94" s="2" t="s">
        <v>462</v>
      </c>
      <c r="D94" s="18" t="s">
        <v>61</v>
      </c>
      <c r="E94" s="17" t="s">
        <v>63</v>
      </c>
      <c r="F94" s="2" t="s">
        <v>441</v>
      </c>
      <c r="G94" s="2" t="s">
        <v>463</v>
      </c>
      <c r="H94" s="2" t="s">
        <v>442</v>
      </c>
      <c r="I94" s="2">
        <v>21</v>
      </c>
      <c r="J94" s="2" t="s">
        <v>428</v>
      </c>
      <c r="K94" s="2" t="s">
        <v>424</v>
      </c>
      <c r="L94" s="2" t="s">
        <v>434</v>
      </c>
      <c r="M94" s="2">
        <v>8</v>
      </c>
      <c r="N94" s="2" t="s">
        <v>460</v>
      </c>
      <c r="O94" s="26">
        <v>132240000000</v>
      </c>
      <c r="P94" s="26"/>
      <c r="Q94" s="3">
        <v>50033333333.333344</v>
      </c>
      <c r="R94" s="3">
        <v>10133333333.333336</v>
      </c>
      <c r="T94">
        <v>-1.9921616279898191E-2</v>
      </c>
      <c r="U94">
        <v>0.98065357553761578</v>
      </c>
      <c r="V94">
        <v>5.4842243111858646E-3</v>
      </c>
      <c r="W94">
        <v>-2.5405840591084056E-2</v>
      </c>
      <c r="X94">
        <v>-1.4437391968712326E-2</v>
      </c>
      <c r="Y94" s="1">
        <f t="shared" si="2"/>
        <v>41.178026590501212</v>
      </c>
      <c r="Z94" s="5">
        <v>0.28999999999999998</v>
      </c>
      <c r="AA94" s="5"/>
      <c r="AB94" s="2">
        <v>0.30399999999999999</v>
      </c>
      <c r="AC94" s="2">
        <v>0.26300000000000001</v>
      </c>
    </row>
    <row r="95" spans="1:30">
      <c r="A95">
        <v>94</v>
      </c>
      <c r="B95" s="19" t="s">
        <v>142</v>
      </c>
      <c r="C95" s="2" t="s">
        <v>462</v>
      </c>
      <c r="D95" s="18" t="s">
        <v>61</v>
      </c>
      <c r="E95" s="17" t="s">
        <v>63</v>
      </c>
      <c r="F95" s="2" t="s">
        <v>445</v>
      </c>
      <c r="G95" s="2" t="s">
        <v>463</v>
      </c>
      <c r="H95" s="2" t="s">
        <v>427</v>
      </c>
      <c r="I95" s="2">
        <v>4</v>
      </c>
      <c r="J95" s="2" t="s">
        <v>428</v>
      </c>
      <c r="K95" s="2" t="s">
        <v>424</v>
      </c>
      <c r="L95" s="2" t="s">
        <v>434</v>
      </c>
      <c r="M95" s="2">
        <v>8</v>
      </c>
      <c r="N95" s="2" t="s">
        <v>446</v>
      </c>
      <c r="O95" s="26">
        <v>269800000000</v>
      </c>
      <c r="P95" s="26"/>
      <c r="T95"/>
      <c r="U95"/>
      <c r="Y95" s="1" t="e">
        <f t="shared" si="2"/>
        <v>#DIV/0!</v>
      </c>
      <c r="Z95" s="5">
        <v>0.23</v>
      </c>
      <c r="AA95" s="5"/>
    </row>
    <row r="96" spans="1:30">
      <c r="A96">
        <v>95</v>
      </c>
      <c r="B96" s="19" t="s">
        <v>142</v>
      </c>
      <c r="C96" s="2" t="s">
        <v>462</v>
      </c>
      <c r="D96" s="18" t="s">
        <v>61</v>
      </c>
      <c r="E96" s="17" t="s">
        <v>63</v>
      </c>
      <c r="F96" s="2" t="s">
        <v>454</v>
      </c>
      <c r="G96" s="2" t="s">
        <v>463</v>
      </c>
      <c r="H96" s="2" t="s">
        <v>442</v>
      </c>
      <c r="I96" s="2">
        <v>4</v>
      </c>
      <c r="J96" s="2" t="s">
        <v>428</v>
      </c>
      <c r="K96" s="2" t="s">
        <v>424</v>
      </c>
      <c r="L96" s="2" t="s">
        <v>434</v>
      </c>
      <c r="M96" s="2">
        <v>8</v>
      </c>
      <c r="N96" s="2" t="s">
        <v>446</v>
      </c>
      <c r="O96" s="26">
        <v>132240000000</v>
      </c>
      <c r="P96" s="26"/>
      <c r="T96"/>
      <c r="U96"/>
      <c r="Y96" s="1" t="e">
        <f t="shared" si="2"/>
        <v>#DIV/0!</v>
      </c>
      <c r="Z96" s="5">
        <v>0.28999999999999998</v>
      </c>
      <c r="AA96" s="5"/>
    </row>
    <row r="97" spans="1:29">
      <c r="A97">
        <v>96</v>
      </c>
      <c r="B97" s="19" t="s">
        <v>147</v>
      </c>
      <c r="C97" s="2" t="s">
        <v>464</v>
      </c>
      <c r="D97" s="18" t="s">
        <v>61</v>
      </c>
      <c r="E97" s="2" t="s">
        <v>54</v>
      </c>
      <c r="F97" s="2" t="s">
        <v>441</v>
      </c>
      <c r="G97" s="2" t="s">
        <v>463</v>
      </c>
      <c r="H97" s="2" t="s">
        <v>442</v>
      </c>
      <c r="I97" s="2">
        <v>21</v>
      </c>
      <c r="J97" s="2" t="s">
        <v>428</v>
      </c>
      <c r="K97" s="2" t="s">
        <v>424</v>
      </c>
      <c r="L97" s="2" t="s">
        <v>434</v>
      </c>
      <c r="M97" s="2">
        <v>8</v>
      </c>
      <c r="N97" s="2" t="s">
        <v>460</v>
      </c>
      <c r="O97" s="26">
        <v>132620000000</v>
      </c>
      <c r="P97" s="26"/>
      <c r="Q97" s="3">
        <v>34200000000</v>
      </c>
      <c r="T97">
        <v>-2.1020818482851887E-2</v>
      </c>
      <c r="U97">
        <v>0.99999999999999389</v>
      </c>
      <c r="Y97" s="1">
        <f t="shared" si="2"/>
        <v>39.084064618236752</v>
      </c>
      <c r="Z97" s="5">
        <v>0.23699999999999999</v>
      </c>
      <c r="AA97" s="5"/>
      <c r="AB97" s="2">
        <v>0.27300000000000002</v>
      </c>
    </row>
    <row r="98" spans="1:29">
      <c r="A98">
        <v>97</v>
      </c>
      <c r="B98" s="19" t="s">
        <v>147</v>
      </c>
      <c r="C98" s="2" t="s">
        <v>464</v>
      </c>
      <c r="D98" s="18" t="s">
        <v>61</v>
      </c>
      <c r="E98" s="2" t="s">
        <v>54</v>
      </c>
      <c r="F98" s="2" t="s">
        <v>445</v>
      </c>
      <c r="G98" s="2" t="s">
        <v>463</v>
      </c>
      <c r="H98" s="2" t="s">
        <v>427</v>
      </c>
      <c r="I98" s="2">
        <v>4</v>
      </c>
      <c r="J98" s="2" t="s">
        <v>428</v>
      </c>
      <c r="K98" s="2" t="s">
        <v>424</v>
      </c>
      <c r="L98" s="2" t="s">
        <v>434</v>
      </c>
      <c r="M98" s="2">
        <v>8</v>
      </c>
      <c r="N98" s="2" t="s">
        <v>446</v>
      </c>
      <c r="O98" s="26">
        <v>167580000000</v>
      </c>
      <c r="P98" s="26"/>
      <c r="T98"/>
      <c r="U98"/>
      <c r="Y98" s="1" t="e">
        <f t="shared" ref="Y98:Y129" si="3">(LOG(20000000000)-LOG(O98))/T98</f>
        <v>#DIV/0!</v>
      </c>
      <c r="Z98" s="5">
        <v>0.14000000000000001</v>
      </c>
      <c r="AA98" s="5"/>
    </row>
    <row r="99" spans="1:29">
      <c r="A99">
        <v>98</v>
      </c>
      <c r="B99" s="19" t="s">
        <v>147</v>
      </c>
      <c r="C99" s="2" t="s">
        <v>464</v>
      </c>
      <c r="D99" s="18" t="s">
        <v>61</v>
      </c>
      <c r="E99" s="2" t="s">
        <v>54</v>
      </c>
      <c r="F99" s="2" t="s">
        <v>454</v>
      </c>
      <c r="G99" s="2" t="s">
        <v>463</v>
      </c>
      <c r="H99" s="2" t="s">
        <v>442</v>
      </c>
      <c r="I99" s="2">
        <v>4</v>
      </c>
      <c r="J99" s="2" t="s">
        <v>428</v>
      </c>
      <c r="K99" s="2" t="s">
        <v>424</v>
      </c>
      <c r="L99" s="2" t="s">
        <v>434</v>
      </c>
      <c r="M99" s="2">
        <v>8</v>
      </c>
      <c r="N99" s="2" t="s">
        <v>446</v>
      </c>
      <c r="O99" s="26">
        <v>132620000000</v>
      </c>
      <c r="P99" s="26"/>
      <c r="T99"/>
      <c r="U99"/>
      <c r="Y99" s="1" t="e">
        <f t="shared" si="3"/>
        <v>#DIV/0!</v>
      </c>
      <c r="Z99" s="5">
        <v>0.23699999999999999</v>
      </c>
      <c r="AA99" s="5"/>
    </row>
    <row r="100" spans="1:29">
      <c r="A100">
        <v>99</v>
      </c>
      <c r="B100" s="19" t="s">
        <v>149</v>
      </c>
      <c r="C100" s="2" t="s">
        <v>465</v>
      </c>
      <c r="D100" s="18" t="s">
        <v>35</v>
      </c>
      <c r="E100" s="17" t="s">
        <v>63</v>
      </c>
      <c r="F100" s="2" t="s">
        <v>441</v>
      </c>
      <c r="G100" s="2" t="s">
        <v>459</v>
      </c>
      <c r="H100" s="2" t="s">
        <v>442</v>
      </c>
      <c r="I100" s="2">
        <v>21</v>
      </c>
      <c r="J100" s="2" t="s">
        <v>428</v>
      </c>
      <c r="K100" s="2" t="s">
        <v>424</v>
      </c>
      <c r="L100" s="2" t="s">
        <v>434</v>
      </c>
      <c r="M100" s="2">
        <v>8</v>
      </c>
      <c r="N100" s="2" t="s">
        <v>460</v>
      </c>
      <c r="O100" s="26">
        <v>168340000000</v>
      </c>
      <c r="P100" s="26"/>
      <c r="Q100" s="3">
        <v>65233333333.333336</v>
      </c>
      <c r="R100" s="3">
        <v>29977777777.777782</v>
      </c>
      <c r="T100">
        <v>-1.3381926552559252E-2</v>
      </c>
      <c r="U100">
        <v>0.99675603281812619</v>
      </c>
      <c r="V100">
        <v>1.496271908586546E-3</v>
      </c>
      <c r="W100">
        <v>-1.4878198461145799E-2</v>
      </c>
      <c r="X100">
        <v>-1.1885654643972706E-2</v>
      </c>
      <c r="Y100" s="1">
        <f t="shared" si="3"/>
        <v>69.134838211988679</v>
      </c>
      <c r="Z100" s="5">
        <v>0.31</v>
      </c>
      <c r="AA100" s="5"/>
      <c r="AB100" s="2">
        <v>0.30599999999999999</v>
      </c>
      <c r="AC100" s="2">
        <v>0.245</v>
      </c>
    </row>
    <row r="101" spans="1:29">
      <c r="A101">
        <v>100</v>
      </c>
      <c r="B101" s="19" t="s">
        <v>149</v>
      </c>
      <c r="C101" s="2" t="s">
        <v>465</v>
      </c>
      <c r="D101" s="18" t="s">
        <v>35</v>
      </c>
      <c r="E101" s="17" t="s">
        <v>63</v>
      </c>
      <c r="F101" s="2" t="s">
        <v>445</v>
      </c>
      <c r="G101" s="2" t="s">
        <v>459</v>
      </c>
      <c r="H101" s="2" t="s">
        <v>427</v>
      </c>
      <c r="I101" s="2">
        <v>4</v>
      </c>
      <c r="J101" s="2" t="s">
        <v>428</v>
      </c>
      <c r="K101" s="2" t="s">
        <v>424</v>
      </c>
      <c r="L101" s="2" t="s">
        <v>434</v>
      </c>
      <c r="M101" s="2">
        <v>8</v>
      </c>
      <c r="N101" s="2" t="s">
        <v>446</v>
      </c>
      <c r="O101" s="26">
        <v>406600000000</v>
      </c>
      <c r="P101" s="26"/>
      <c r="T101"/>
      <c r="U101"/>
      <c r="Y101" s="1" t="e">
        <f t="shared" si="3"/>
        <v>#DIV/0!</v>
      </c>
      <c r="Z101" s="5">
        <v>0.28999999999999998</v>
      </c>
      <c r="AA101" s="5"/>
    </row>
    <row r="102" spans="1:29">
      <c r="A102">
        <v>101</v>
      </c>
      <c r="B102" s="19" t="s">
        <v>149</v>
      </c>
      <c r="C102" s="2" t="s">
        <v>465</v>
      </c>
      <c r="D102" s="18" t="s">
        <v>35</v>
      </c>
      <c r="E102" s="17" t="s">
        <v>63</v>
      </c>
      <c r="F102" s="2" t="s">
        <v>454</v>
      </c>
      <c r="G102" s="2" t="s">
        <v>459</v>
      </c>
      <c r="H102" s="2" t="s">
        <v>442</v>
      </c>
      <c r="I102" s="2">
        <v>4</v>
      </c>
      <c r="J102" s="2" t="s">
        <v>428</v>
      </c>
      <c r="K102" s="2" t="s">
        <v>424</v>
      </c>
      <c r="L102" s="2" t="s">
        <v>434</v>
      </c>
      <c r="M102" s="2">
        <v>8</v>
      </c>
      <c r="N102" s="2" t="s">
        <v>446</v>
      </c>
      <c r="O102" s="26">
        <v>168340000000</v>
      </c>
      <c r="P102" s="26"/>
      <c r="T102"/>
      <c r="U102"/>
      <c r="Y102" s="1" t="e">
        <f t="shared" si="3"/>
        <v>#DIV/0!</v>
      </c>
      <c r="Z102" s="5">
        <v>0.31</v>
      </c>
      <c r="AA102" s="5"/>
    </row>
    <row r="103" spans="1:29">
      <c r="A103">
        <v>102</v>
      </c>
      <c r="B103" s="19" t="s">
        <v>154</v>
      </c>
      <c r="C103" s="2" t="s">
        <v>466</v>
      </c>
      <c r="D103" s="18" t="s">
        <v>35</v>
      </c>
      <c r="E103" s="2" t="s">
        <v>54</v>
      </c>
      <c r="F103" s="2" t="s">
        <v>441</v>
      </c>
      <c r="G103" s="2" t="s">
        <v>459</v>
      </c>
      <c r="H103" s="2" t="s">
        <v>442</v>
      </c>
      <c r="I103" s="2">
        <v>21</v>
      </c>
      <c r="J103" s="2" t="s">
        <v>428</v>
      </c>
      <c r="K103" s="2" t="s">
        <v>424</v>
      </c>
      <c r="L103" s="2" t="s">
        <v>434</v>
      </c>
      <c r="M103" s="2">
        <v>8</v>
      </c>
      <c r="N103" s="2" t="s">
        <v>460</v>
      </c>
      <c r="O103" s="26">
        <v>147060000000</v>
      </c>
      <c r="P103" s="26"/>
      <c r="Q103" s="3">
        <v>45600000000</v>
      </c>
      <c r="T103">
        <v>-1.8161775677545976E-2</v>
      </c>
      <c r="U103">
        <v>1</v>
      </c>
      <c r="Y103" s="1">
        <f t="shared" si="3"/>
        <v>47.70814161321136</v>
      </c>
      <c r="Z103" s="5">
        <v>0.29099999999999998</v>
      </c>
      <c r="AA103" s="5"/>
      <c r="AB103" s="2">
        <v>0.30099999999999999</v>
      </c>
    </row>
    <row r="104" spans="1:29">
      <c r="A104">
        <v>103</v>
      </c>
      <c r="B104" s="19" t="s">
        <v>154</v>
      </c>
      <c r="C104" s="2" t="s">
        <v>466</v>
      </c>
      <c r="D104" s="18" t="s">
        <v>35</v>
      </c>
      <c r="E104" s="2" t="s">
        <v>54</v>
      </c>
      <c r="F104" s="2" t="s">
        <v>445</v>
      </c>
      <c r="G104" s="2" t="s">
        <v>459</v>
      </c>
      <c r="H104" s="2" t="s">
        <v>427</v>
      </c>
      <c r="I104" s="2">
        <v>4</v>
      </c>
      <c r="J104" s="2" t="s">
        <v>428</v>
      </c>
      <c r="K104" s="2" t="s">
        <v>424</v>
      </c>
      <c r="L104" s="2" t="s">
        <v>434</v>
      </c>
      <c r="M104" s="2">
        <v>8</v>
      </c>
      <c r="N104" s="2" t="s">
        <v>446</v>
      </c>
      <c r="O104" s="26">
        <v>395200000000</v>
      </c>
      <c r="P104" s="26"/>
      <c r="T104"/>
      <c r="U104"/>
      <c r="Y104" s="1" t="e">
        <f t="shared" si="3"/>
        <v>#DIV/0!</v>
      </c>
      <c r="Z104" s="5">
        <v>0.23</v>
      </c>
      <c r="AA104" s="5"/>
    </row>
    <row r="105" spans="1:29">
      <c r="A105">
        <v>104</v>
      </c>
      <c r="B105" s="19" t="s">
        <v>154</v>
      </c>
      <c r="C105" s="2" t="s">
        <v>466</v>
      </c>
      <c r="D105" s="18" t="s">
        <v>35</v>
      </c>
      <c r="E105" s="2" t="s">
        <v>54</v>
      </c>
      <c r="F105" s="2" t="s">
        <v>454</v>
      </c>
      <c r="G105" s="2" t="s">
        <v>459</v>
      </c>
      <c r="H105" s="2" t="s">
        <v>442</v>
      </c>
      <c r="I105" s="2">
        <v>4</v>
      </c>
      <c r="J105" s="2" t="s">
        <v>428</v>
      </c>
      <c r="K105" s="2" t="s">
        <v>424</v>
      </c>
      <c r="L105" s="2" t="s">
        <v>434</v>
      </c>
      <c r="M105" s="2">
        <v>8</v>
      </c>
      <c r="N105" s="2" t="s">
        <v>446</v>
      </c>
      <c r="O105" s="26">
        <v>147060000000</v>
      </c>
      <c r="P105" s="26"/>
      <c r="T105"/>
      <c r="U105"/>
      <c r="Y105" s="1" t="e">
        <f t="shared" si="3"/>
        <v>#DIV/0!</v>
      </c>
      <c r="Z105" s="5">
        <v>0.29099999999999998</v>
      </c>
      <c r="AA105" s="5"/>
    </row>
    <row r="106" spans="1:29">
      <c r="A106">
        <v>105</v>
      </c>
      <c r="B106" s="19" t="s">
        <v>156</v>
      </c>
      <c r="C106" s="2" t="s">
        <v>467</v>
      </c>
      <c r="D106" s="18" t="s">
        <v>35</v>
      </c>
      <c r="E106" s="2" t="s">
        <v>54</v>
      </c>
      <c r="F106" s="2" t="s">
        <v>441</v>
      </c>
      <c r="G106" s="2" t="s">
        <v>463</v>
      </c>
      <c r="H106" s="2" t="s">
        <v>442</v>
      </c>
      <c r="I106" s="2">
        <v>21</v>
      </c>
      <c r="J106" s="2" t="s">
        <v>428</v>
      </c>
      <c r="K106" s="2" t="s">
        <v>424</v>
      </c>
      <c r="L106" s="2" t="s">
        <v>434</v>
      </c>
      <c r="M106" s="2">
        <v>8</v>
      </c>
      <c r="N106" s="2" t="s">
        <v>460</v>
      </c>
      <c r="O106" s="26">
        <v>91580000000</v>
      </c>
      <c r="P106" s="26"/>
      <c r="Q106" s="3">
        <v>48133333333.333344</v>
      </c>
      <c r="T106">
        <v>-9.9769535956329078E-3</v>
      </c>
      <c r="U106">
        <v>1</v>
      </c>
      <c r="Y106" s="1">
        <f t="shared" si="3"/>
        <v>66.22969999749516</v>
      </c>
      <c r="Z106" s="5">
        <v>0.39400000000000002</v>
      </c>
      <c r="AA106" s="5"/>
      <c r="AB106" s="2">
        <v>0.36499999999999999</v>
      </c>
    </row>
    <row r="107" spans="1:29">
      <c r="A107">
        <v>106</v>
      </c>
      <c r="B107" s="19" t="s">
        <v>156</v>
      </c>
      <c r="C107" s="2" t="s">
        <v>467</v>
      </c>
      <c r="D107" s="18" t="s">
        <v>35</v>
      </c>
      <c r="E107" s="2" t="s">
        <v>54</v>
      </c>
      <c r="F107" s="2" t="s">
        <v>445</v>
      </c>
      <c r="G107" s="2" t="s">
        <v>463</v>
      </c>
      <c r="H107" s="2" t="s">
        <v>427</v>
      </c>
      <c r="I107" s="2">
        <v>4</v>
      </c>
      <c r="J107" s="2" t="s">
        <v>428</v>
      </c>
      <c r="K107" s="2" t="s">
        <v>424</v>
      </c>
      <c r="L107" s="2" t="s">
        <v>434</v>
      </c>
      <c r="M107" s="2">
        <v>8</v>
      </c>
      <c r="N107" s="2" t="s">
        <v>446</v>
      </c>
      <c r="O107" s="26">
        <v>231800000000</v>
      </c>
      <c r="P107" s="26"/>
      <c r="T107"/>
      <c r="U107"/>
      <c r="Y107" s="1" t="e">
        <f t="shared" si="3"/>
        <v>#DIV/0!</v>
      </c>
      <c r="Z107" s="5">
        <v>0.36</v>
      </c>
      <c r="AA107" s="5"/>
    </row>
    <row r="108" spans="1:29">
      <c r="A108">
        <v>107</v>
      </c>
      <c r="B108" s="19" t="s">
        <v>156</v>
      </c>
      <c r="C108" s="2" t="s">
        <v>467</v>
      </c>
      <c r="D108" s="18" t="s">
        <v>35</v>
      </c>
      <c r="E108" s="2" t="s">
        <v>54</v>
      </c>
      <c r="F108" s="2" t="s">
        <v>454</v>
      </c>
      <c r="G108" s="2" t="s">
        <v>463</v>
      </c>
      <c r="H108" s="2" t="s">
        <v>442</v>
      </c>
      <c r="I108" s="2">
        <v>4</v>
      </c>
      <c r="J108" s="2" t="s">
        <v>428</v>
      </c>
      <c r="K108" s="2" t="s">
        <v>424</v>
      </c>
      <c r="L108" s="2" t="s">
        <v>434</v>
      </c>
      <c r="M108" s="2">
        <v>8</v>
      </c>
      <c r="N108" s="2" t="s">
        <v>446</v>
      </c>
      <c r="O108" s="26">
        <v>91580000000</v>
      </c>
      <c r="P108" s="26"/>
      <c r="T108"/>
      <c r="U108"/>
      <c r="Y108" s="1" t="e">
        <f t="shared" si="3"/>
        <v>#DIV/0!</v>
      </c>
      <c r="Z108" s="5">
        <v>0.39400000000000002</v>
      </c>
      <c r="AA108" s="5"/>
    </row>
    <row r="109" spans="1:29">
      <c r="A109">
        <v>108</v>
      </c>
      <c r="B109" s="19" t="s">
        <v>160</v>
      </c>
      <c r="C109" s="2" t="s">
        <v>468</v>
      </c>
      <c r="D109" s="18" t="s">
        <v>35</v>
      </c>
      <c r="E109" s="2" t="s">
        <v>39</v>
      </c>
      <c r="F109" s="2" t="s">
        <v>441</v>
      </c>
      <c r="G109" s="2" t="s">
        <v>459</v>
      </c>
      <c r="H109" s="2" t="s">
        <v>442</v>
      </c>
      <c r="I109" s="2">
        <v>21</v>
      </c>
      <c r="J109" s="2" t="s">
        <v>428</v>
      </c>
      <c r="K109" s="2" t="s">
        <v>424</v>
      </c>
      <c r="L109" s="2" t="s">
        <v>434</v>
      </c>
      <c r="M109" s="2">
        <v>8</v>
      </c>
      <c r="N109" s="2" t="s">
        <v>460</v>
      </c>
      <c r="O109" s="26">
        <v>228000000000</v>
      </c>
      <c r="P109" s="26"/>
      <c r="Q109" s="3">
        <v>154533333333.33337</v>
      </c>
      <c r="R109" s="3">
        <v>105766666666.66669</v>
      </c>
      <c r="T109">
        <v>-5.9568933860661612E-3</v>
      </c>
      <c r="U109">
        <v>0.99994616906772726</v>
      </c>
      <c r="V109">
        <v>8.5663449486567307E-5</v>
      </c>
      <c r="W109">
        <v>-6.0425568355527287E-3</v>
      </c>
      <c r="X109">
        <v>-5.8712299365795938E-3</v>
      </c>
      <c r="Y109" s="1">
        <f t="shared" si="3"/>
        <v>177.42551072152662</v>
      </c>
      <c r="Z109" s="5">
        <v>0.27</v>
      </c>
      <c r="AA109" s="5"/>
      <c r="AB109" s="2">
        <v>0.26100000000000001</v>
      </c>
      <c r="AC109" s="2">
        <v>0.218</v>
      </c>
    </row>
    <row r="110" spans="1:29">
      <c r="A110">
        <v>109</v>
      </c>
      <c r="B110" s="19" t="s">
        <v>160</v>
      </c>
      <c r="C110" s="2" t="s">
        <v>468</v>
      </c>
      <c r="D110" s="18" t="s">
        <v>35</v>
      </c>
      <c r="E110" s="2" t="s">
        <v>39</v>
      </c>
      <c r="F110" s="2" t="s">
        <v>445</v>
      </c>
      <c r="G110" s="2" t="s">
        <v>459</v>
      </c>
      <c r="H110" s="2" t="s">
        <v>427</v>
      </c>
      <c r="I110" s="2">
        <v>4</v>
      </c>
      <c r="J110" s="2" t="s">
        <v>428</v>
      </c>
      <c r="K110" s="2" t="s">
        <v>424</v>
      </c>
      <c r="L110" s="2" t="s">
        <v>434</v>
      </c>
      <c r="M110" s="2">
        <v>8</v>
      </c>
      <c r="N110" s="2" t="s">
        <v>446</v>
      </c>
      <c r="O110" s="26">
        <v>338200000000</v>
      </c>
      <c r="P110" s="26"/>
      <c r="T110"/>
      <c r="U110"/>
      <c r="Y110" s="1" t="e">
        <f t="shared" si="3"/>
        <v>#DIV/0!</v>
      </c>
      <c r="Z110" s="5">
        <v>0.2</v>
      </c>
      <c r="AA110" s="5"/>
    </row>
    <row r="111" spans="1:29">
      <c r="A111">
        <v>110</v>
      </c>
      <c r="B111" s="19" t="s">
        <v>160</v>
      </c>
      <c r="C111" s="2" t="s">
        <v>468</v>
      </c>
      <c r="D111" s="18" t="s">
        <v>35</v>
      </c>
      <c r="E111" s="2" t="s">
        <v>39</v>
      </c>
      <c r="F111" s="2" t="s">
        <v>454</v>
      </c>
      <c r="G111" s="2" t="s">
        <v>459</v>
      </c>
      <c r="H111" s="2" t="s">
        <v>442</v>
      </c>
      <c r="I111" s="2">
        <v>4</v>
      </c>
      <c r="J111" s="2" t="s">
        <v>428</v>
      </c>
      <c r="K111" s="2" t="s">
        <v>424</v>
      </c>
      <c r="L111" s="2" t="s">
        <v>434</v>
      </c>
      <c r="M111" s="2">
        <v>8</v>
      </c>
      <c r="N111" s="2" t="s">
        <v>446</v>
      </c>
      <c r="O111" s="26">
        <v>228000000000</v>
      </c>
      <c r="P111" s="26"/>
      <c r="T111"/>
      <c r="U111"/>
      <c r="Y111" s="1" t="e">
        <f t="shared" si="3"/>
        <v>#DIV/0!</v>
      </c>
      <c r="Z111" s="5">
        <v>0.27</v>
      </c>
      <c r="AA111" s="5"/>
    </row>
    <row r="112" spans="1:29">
      <c r="A112">
        <v>111</v>
      </c>
      <c r="B112" s="19" t="s">
        <v>163</v>
      </c>
      <c r="C112" s="2" t="s">
        <v>469</v>
      </c>
      <c r="D112" s="18" t="s">
        <v>35</v>
      </c>
      <c r="E112" s="2" t="s">
        <v>39</v>
      </c>
      <c r="F112" s="2" t="s">
        <v>441</v>
      </c>
      <c r="G112" s="2" t="s">
        <v>463</v>
      </c>
      <c r="H112" s="2" t="s">
        <v>442</v>
      </c>
      <c r="I112" s="2">
        <v>21</v>
      </c>
      <c r="J112" s="2" t="s">
        <v>428</v>
      </c>
      <c r="K112" s="2" t="s">
        <v>424</v>
      </c>
      <c r="L112" s="2" t="s">
        <v>434</v>
      </c>
      <c r="M112" s="2">
        <v>8</v>
      </c>
      <c r="N112" s="2" t="s">
        <v>460</v>
      </c>
      <c r="O112" s="26">
        <v>118180000000</v>
      </c>
      <c r="P112" s="26"/>
      <c r="Q112" s="3">
        <v>100700000000</v>
      </c>
      <c r="R112" s="3">
        <v>81488888888.888901</v>
      </c>
      <c r="T112">
        <v>-2.8829569546140583E-3</v>
      </c>
      <c r="U112">
        <v>0.99361468562936572</v>
      </c>
      <c r="V112">
        <v>4.529689051148065E-4</v>
      </c>
      <c r="W112">
        <v>-3.3359258597288649E-3</v>
      </c>
      <c r="X112">
        <v>-2.4299880494992516E-3</v>
      </c>
      <c r="Y112" s="1">
        <f t="shared" si="3"/>
        <v>267.61203934900561</v>
      </c>
      <c r="Z112" s="5">
        <v>0.26100000000000001</v>
      </c>
      <c r="AA112" s="5"/>
      <c r="AB112" s="2">
        <v>0.25800000000000001</v>
      </c>
      <c r="AC112" s="2">
        <v>0.314</v>
      </c>
    </row>
    <row r="113" spans="1:29">
      <c r="A113">
        <v>112</v>
      </c>
      <c r="B113" s="19" t="s">
        <v>163</v>
      </c>
      <c r="C113" s="2" t="s">
        <v>469</v>
      </c>
      <c r="D113" s="18" t="s">
        <v>35</v>
      </c>
      <c r="E113" s="2" t="s">
        <v>39</v>
      </c>
      <c r="F113" s="2" t="s">
        <v>445</v>
      </c>
      <c r="G113" s="2" t="s">
        <v>463</v>
      </c>
      <c r="H113" s="2" t="s">
        <v>427</v>
      </c>
      <c r="I113" s="2">
        <v>4</v>
      </c>
      <c r="J113" s="2" t="s">
        <v>428</v>
      </c>
      <c r="K113" s="2" t="s">
        <v>424</v>
      </c>
      <c r="L113" s="2" t="s">
        <v>434</v>
      </c>
      <c r="M113" s="2">
        <v>8</v>
      </c>
      <c r="N113" s="2" t="s">
        <v>446</v>
      </c>
      <c r="O113" s="26">
        <v>216600000000</v>
      </c>
      <c r="P113" s="26"/>
      <c r="T113"/>
      <c r="U113"/>
      <c r="Y113" s="1" t="e">
        <f t="shared" si="3"/>
        <v>#DIV/0!</v>
      </c>
      <c r="Z113" s="5">
        <v>0.2</v>
      </c>
      <c r="AA113" s="5"/>
    </row>
    <row r="114" spans="1:29">
      <c r="A114">
        <v>113</v>
      </c>
      <c r="B114" s="19" t="s">
        <v>163</v>
      </c>
      <c r="C114" s="2" t="s">
        <v>469</v>
      </c>
      <c r="D114" s="18" t="s">
        <v>35</v>
      </c>
      <c r="E114" s="2" t="s">
        <v>39</v>
      </c>
      <c r="F114" s="2" t="s">
        <v>454</v>
      </c>
      <c r="G114" s="2" t="s">
        <v>463</v>
      </c>
      <c r="H114" s="2" t="s">
        <v>442</v>
      </c>
      <c r="I114" s="2">
        <v>4</v>
      </c>
      <c r="J114" s="2" t="s">
        <v>428</v>
      </c>
      <c r="K114" s="2" t="s">
        <v>424</v>
      </c>
      <c r="L114" s="2" t="s">
        <v>434</v>
      </c>
      <c r="M114" s="2">
        <v>8</v>
      </c>
      <c r="N114" s="2" t="s">
        <v>446</v>
      </c>
      <c r="O114" s="26">
        <v>118180000000</v>
      </c>
      <c r="P114" s="26"/>
      <c r="T114"/>
      <c r="U114"/>
      <c r="Y114" s="1" t="e">
        <f t="shared" si="3"/>
        <v>#DIV/0!</v>
      </c>
      <c r="Z114" s="5">
        <v>0.26100000000000001</v>
      </c>
      <c r="AA114" s="5"/>
    </row>
    <row r="115" spans="1:29">
      <c r="A115">
        <v>114</v>
      </c>
      <c r="B115" s="19" t="s">
        <v>166</v>
      </c>
      <c r="C115" s="2" t="s">
        <v>470</v>
      </c>
      <c r="D115" s="18" t="s">
        <v>61</v>
      </c>
      <c r="E115" s="2" t="s">
        <v>39</v>
      </c>
      <c r="F115" s="2" t="s">
        <v>441</v>
      </c>
      <c r="G115" s="2" t="s">
        <v>459</v>
      </c>
      <c r="H115" s="2" t="s">
        <v>442</v>
      </c>
      <c r="I115" s="2">
        <v>21</v>
      </c>
      <c r="J115" s="2" t="s">
        <v>428</v>
      </c>
      <c r="K115" s="2" t="s">
        <v>424</v>
      </c>
      <c r="L115" s="2" t="s">
        <v>434</v>
      </c>
      <c r="M115" s="2">
        <v>8</v>
      </c>
      <c r="N115" s="2" t="s">
        <v>460</v>
      </c>
      <c r="O115" s="26">
        <v>54720000000</v>
      </c>
      <c r="P115" s="26"/>
      <c r="Q115" s="3">
        <v>39266666666.666672</v>
      </c>
      <c r="R115" s="3">
        <v>33777777777.777782</v>
      </c>
      <c r="T115">
        <v>-3.7413395454041196E-3</v>
      </c>
      <c r="U115">
        <v>0.95504848420588839</v>
      </c>
      <c r="V115">
        <v>1.5908699411806896E-3</v>
      </c>
      <c r="W115">
        <v>-5.332209486584809E-3</v>
      </c>
      <c r="X115">
        <v>-2.1504696042234303E-3</v>
      </c>
      <c r="Y115" s="1">
        <f t="shared" si="3"/>
        <v>116.83411455798891</v>
      </c>
      <c r="Z115" s="5">
        <v>0.23899999999999999</v>
      </c>
      <c r="AA115" s="5"/>
      <c r="AB115" s="2">
        <v>0.23400000000000001</v>
      </c>
      <c r="AC115" s="2">
        <v>0.29699999999999999</v>
      </c>
    </row>
    <row r="116" spans="1:29">
      <c r="A116">
        <v>115</v>
      </c>
      <c r="B116" s="19" t="s">
        <v>166</v>
      </c>
      <c r="C116" s="2" t="s">
        <v>470</v>
      </c>
      <c r="D116" s="18" t="s">
        <v>61</v>
      </c>
      <c r="E116" s="2" t="s">
        <v>39</v>
      </c>
      <c r="F116" s="2" t="s">
        <v>445</v>
      </c>
      <c r="G116" s="2" t="s">
        <v>459</v>
      </c>
      <c r="H116" s="2" t="s">
        <v>427</v>
      </c>
      <c r="I116" s="2">
        <v>4</v>
      </c>
      <c r="J116" s="2" t="s">
        <v>428</v>
      </c>
      <c r="K116" s="2" t="s">
        <v>424</v>
      </c>
      <c r="L116" s="2" t="s">
        <v>434</v>
      </c>
      <c r="M116" s="2">
        <v>8</v>
      </c>
      <c r="N116" s="2" t="s">
        <v>446</v>
      </c>
      <c r="O116" s="26">
        <v>133000000000</v>
      </c>
      <c r="P116" s="26"/>
      <c r="T116"/>
      <c r="U116"/>
      <c r="Y116" s="1" t="e">
        <f t="shared" si="3"/>
        <v>#DIV/0!</v>
      </c>
      <c r="Z116" s="5">
        <v>0.16</v>
      </c>
      <c r="AA116" s="5"/>
    </row>
    <row r="117" spans="1:29">
      <c r="A117">
        <v>116</v>
      </c>
      <c r="B117" s="19" t="s">
        <v>166</v>
      </c>
      <c r="C117" s="2" t="s">
        <v>470</v>
      </c>
      <c r="D117" s="18" t="s">
        <v>61</v>
      </c>
      <c r="E117" s="2" t="s">
        <v>39</v>
      </c>
      <c r="F117" s="2" t="s">
        <v>454</v>
      </c>
      <c r="G117" s="2" t="s">
        <v>459</v>
      </c>
      <c r="H117" s="2" t="s">
        <v>442</v>
      </c>
      <c r="I117" s="2">
        <v>4</v>
      </c>
      <c r="J117" s="2" t="s">
        <v>428</v>
      </c>
      <c r="K117" s="2" t="s">
        <v>424</v>
      </c>
      <c r="L117" s="2" t="s">
        <v>434</v>
      </c>
      <c r="M117" s="2">
        <v>8</v>
      </c>
      <c r="N117" s="2" t="s">
        <v>446</v>
      </c>
      <c r="O117" s="26">
        <v>54720000000</v>
      </c>
      <c r="P117" s="26"/>
      <c r="T117"/>
      <c r="U117"/>
      <c r="Y117" s="1" t="e">
        <f t="shared" si="3"/>
        <v>#DIV/0!</v>
      </c>
      <c r="Z117" s="5">
        <v>0.23899999999999999</v>
      </c>
      <c r="AA117" s="5"/>
    </row>
    <row r="118" spans="1:29">
      <c r="A118">
        <v>117</v>
      </c>
      <c r="B118" s="19" t="s">
        <v>169</v>
      </c>
      <c r="C118" s="2" t="s">
        <v>471</v>
      </c>
      <c r="D118" s="18" t="s">
        <v>61</v>
      </c>
      <c r="E118" s="2" t="s">
        <v>39</v>
      </c>
      <c r="F118" s="2" t="s">
        <v>441</v>
      </c>
      <c r="G118" s="2" t="s">
        <v>463</v>
      </c>
      <c r="H118" s="2" t="s">
        <v>442</v>
      </c>
      <c r="I118" s="2">
        <v>21</v>
      </c>
      <c r="J118" s="2" t="s">
        <v>428</v>
      </c>
      <c r="K118" s="2" t="s">
        <v>424</v>
      </c>
      <c r="L118" s="2" t="s">
        <v>434</v>
      </c>
      <c r="M118" s="2">
        <v>8</v>
      </c>
      <c r="N118" s="2" t="s">
        <v>460</v>
      </c>
      <c r="O118" s="26">
        <v>77140000000</v>
      </c>
      <c r="P118" s="26"/>
      <c r="Q118" s="3">
        <v>33566666666.666668</v>
      </c>
      <c r="R118" s="3">
        <v>25333333333.333336</v>
      </c>
      <c r="T118">
        <v>-8.6354874458731239E-3</v>
      </c>
      <c r="U118">
        <v>0.92462047824514104</v>
      </c>
      <c r="V118">
        <v>4.8325892458609705E-3</v>
      </c>
      <c r="W118">
        <v>-1.3468076691734094E-2</v>
      </c>
      <c r="X118">
        <v>-3.8028982000121534E-3</v>
      </c>
      <c r="Y118" s="1">
        <f t="shared" si="3"/>
        <v>67.88842465936402</v>
      </c>
      <c r="Z118" s="5">
        <v>0.184</v>
      </c>
      <c r="AA118" s="5"/>
      <c r="AB118" s="2">
        <v>0.216</v>
      </c>
      <c r="AC118" s="2">
        <v>0.33200000000000002</v>
      </c>
    </row>
    <row r="119" spans="1:29">
      <c r="A119">
        <v>118</v>
      </c>
      <c r="B119" s="19" t="s">
        <v>169</v>
      </c>
      <c r="C119" s="2" t="s">
        <v>471</v>
      </c>
      <c r="D119" s="18" t="s">
        <v>61</v>
      </c>
      <c r="E119" s="2" t="s">
        <v>39</v>
      </c>
      <c r="F119" s="2" t="s">
        <v>445</v>
      </c>
      <c r="G119" s="2" t="s">
        <v>463</v>
      </c>
      <c r="H119" s="2" t="s">
        <v>427</v>
      </c>
      <c r="I119" s="2">
        <v>4</v>
      </c>
      <c r="J119" s="2" t="s">
        <v>428</v>
      </c>
      <c r="K119" s="2" t="s">
        <v>424</v>
      </c>
      <c r="L119" s="2" t="s">
        <v>434</v>
      </c>
      <c r="M119" s="2">
        <v>8</v>
      </c>
      <c r="N119" s="2" t="s">
        <v>446</v>
      </c>
      <c r="O119" s="26">
        <v>157700000000</v>
      </c>
      <c r="P119" s="26"/>
      <c r="T119"/>
      <c r="U119"/>
      <c r="Y119" s="1" t="e">
        <f t="shared" si="3"/>
        <v>#DIV/0!</v>
      </c>
      <c r="Z119" s="5">
        <v>0.09</v>
      </c>
      <c r="AA119" s="5"/>
    </row>
    <row r="120" spans="1:29">
      <c r="A120">
        <v>119</v>
      </c>
      <c r="B120" s="19" t="s">
        <v>169</v>
      </c>
      <c r="C120" s="2" t="s">
        <v>471</v>
      </c>
      <c r="D120" s="18" t="s">
        <v>61</v>
      </c>
      <c r="E120" s="2" t="s">
        <v>39</v>
      </c>
      <c r="F120" s="2" t="s">
        <v>454</v>
      </c>
      <c r="G120" s="2" t="s">
        <v>463</v>
      </c>
      <c r="H120" s="2" t="s">
        <v>442</v>
      </c>
      <c r="I120" s="2">
        <v>4</v>
      </c>
      <c r="J120" s="2" t="s">
        <v>428</v>
      </c>
      <c r="K120" s="2" t="s">
        <v>424</v>
      </c>
      <c r="L120" s="2" t="s">
        <v>434</v>
      </c>
      <c r="M120" s="2">
        <v>8</v>
      </c>
      <c r="N120" s="2" t="s">
        <v>446</v>
      </c>
      <c r="O120" s="26">
        <v>77140000000</v>
      </c>
      <c r="P120" s="26"/>
      <c r="T120"/>
      <c r="U120"/>
      <c r="Y120" s="1" t="e">
        <f t="shared" si="3"/>
        <v>#DIV/0!</v>
      </c>
      <c r="Z120" s="5">
        <v>0.184</v>
      </c>
      <c r="AA120" s="5"/>
    </row>
    <row r="121" spans="1:29">
      <c r="A121">
        <v>120</v>
      </c>
      <c r="B121" s="19" t="s">
        <v>142</v>
      </c>
      <c r="C121" s="2" t="s">
        <v>472</v>
      </c>
      <c r="D121" s="18" t="s">
        <v>61</v>
      </c>
      <c r="E121" s="17" t="s">
        <v>63</v>
      </c>
      <c r="F121" s="2" t="s">
        <v>441</v>
      </c>
      <c r="G121" s="2" t="s">
        <v>463</v>
      </c>
      <c r="H121" s="2" t="s">
        <v>442</v>
      </c>
      <c r="I121" s="2">
        <v>21</v>
      </c>
      <c r="J121" s="2" t="s">
        <v>428</v>
      </c>
      <c r="K121" s="2" t="s">
        <v>424</v>
      </c>
      <c r="L121" s="2" t="s">
        <v>431</v>
      </c>
      <c r="M121" s="2">
        <v>8</v>
      </c>
      <c r="N121" s="2" t="s">
        <v>446</v>
      </c>
      <c r="O121" s="26">
        <v>113366666666.66669</v>
      </c>
      <c r="P121" s="3">
        <v>95633333333.333344</v>
      </c>
      <c r="Q121" s="3">
        <v>45600000000</v>
      </c>
      <c r="T121">
        <v>-1.4125733376736622E-2</v>
      </c>
      <c r="U121">
        <v>0.88432387283808533</v>
      </c>
      <c r="V121">
        <v>1.0013255344670726E-2</v>
      </c>
      <c r="W121">
        <v>-2.4138988721407351E-2</v>
      </c>
      <c r="X121">
        <v>-4.1124780320658961E-3</v>
      </c>
      <c r="Y121" s="1">
        <f t="shared" si="3"/>
        <v>53.33920451804147</v>
      </c>
      <c r="AA121" s="5">
        <v>0.28100000000000003</v>
      </c>
      <c r="AB121" s="2">
        <v>0.27700000000000002</v>
      </c>
    </row>
    <row r="122" spans="1:29">
      <c r="A122">
        <v>121</v>
      </c>
      <c r="B122" s="19" t="s">
        <v>142</v>
      </c>
      <c r="C122" s="2" t="s">
        <v>473</v>
      </c>
      <c r="D122" s="18" t="s">
        <v>61</v>
      </c>
      <c r="E122" s="17" t="s">
        <v>63</v>
      </c>
      <c r="F122" s="2" t="s">
        <v>441</v>
      </c>
      <c r="G122" s="2" t="s">
        <v>463</v>
      </c>
      <c r="H122" s="2" t="s">
        <v>442</v>
      </c>
      <c r="I122" s="2">
        <v>21</v>
      </c>
      <c r="J122" s="2" t="s">
        <v>428</v>
      </c>
      <c r="K122" s="2" t="s">
        <v>424</v>
      </c>
      <c r="L122" s="2" t="s">
        <v>474</v>
      </c>
      <c r="M122" s="2">
        <v>8</v>
      </c>
      <c r="N122" s="2" t="s">
        <v>446</v>
      </c>
      <c r="O122" s="26">
        <v>122233333333.33336</v>
      </c>
      <c r="P122" s="3">
        <v>90566666666.666687</v>
      </c>
      <c r="Q122" s="3">
        <v>43066666666.666672</v>
      </c>
      <c r="T122">
        <v>-1.618029986791206E-2</v>
      </c>
      <c r="U122">
        <v>0.94317730168342351</v>
      </c>
      <c r="V122">
        <v>7.7839298499614608E-3</v>
      </c>
      <c r="W122">
        <v>-2.3964229717873521E-2</v>
      </c>
      <c r="X122">
        <v>-8.3963700179505996E-3</v>
      </c>
      <c r="Y122" s="1">
        <f t="shared" si="3"/>
        <v>48.587459193882509</v>
      </c>
      <c r="AA122" s="5">
        <v>0.124</v>
      </c>
      <c r="AB122" s="2">
        <v>0.121</v>
      </c>
    </row>
    <row r="123" spans="1:29">
      <c r="A123">
        <v>122</v>
      </c>
      <c r="B123" s="19" t="s">
        <v>142</v>
      </c>
      <c r="C123" s="2" t="s">
        <v>475</v>
      </c>
      <c r="D123" s="18" t="s">
        <v>61</v>
      </c>
      <c r="E123" s="17" t="s">
        <v>63</v>
      </c>
      <c r="F123" s="2" t="s">
        <v>441</v>
      </c>
      <c r="G123" s="2" t="s">
        <v>463</v>
      </c>
      <c r="H123" s="2" t="s">
        <v>442</v>
      </c>
      <c r="I123" s="2">
        <v>21</v>
      </c>
      <c r="J123" s="2" t="s">
        <v>428</v>
      </c>
      <c r="K123" s="2" t="s">
        <v>424</v>
      </c>
      <c r="L123" s="2" t="s">
        <v>476</v>
      </c>
      <c r="M123" s="2">
        <v>8</v>
      </c>
      <c r="N123" s="2" t="s">
        <v>446</v>
      </c>
      <c r="O123" s="26">
        <v>113366666666.66669</v>
      </c>
      <c r="P123" s="3">
        <v>80433333333.333344</v>
      </c>
      <c r="Q123" s="3">
        <v>40955555555.555565</v>
      </c>
      <c r="T123">
        <v>-1.5791876991761815E-2</v>
      </c>
      <c r="U123">
        <v>0.96582074841388654</v>
      </c>
      <c r="V123">
        <v>5.8225717969503394E-3</v>
      </c>
      <c r="W123">
        <v>-2.1614448788712153E-2</v>
      </c>
      <c r="X123">
        <v>-9.9693051948114755E-3</v>
      </c>
      <c r="Y123" s="1">
        <f t="shared" si="3"/>
        <v>47.71157867694486</v>
      </c>
      <c r="AA123" s="5">
        <v>0.33100000000000002</v>
      </c>
      <c r="AB123" s="2">
        <v>0.32500000000000001</v>
      </c>
    </row>
    <row r="124" spans="1:29">
      <c r="A124">
        <v>123</v>
      </c>
      <c r="B124" s="19" t="s">
        <v>142</v>
      </c>
      <c r="C124" s="2" t="s">
        <v>477</v>
      </c>
      <c r="D124" s="18" t="s">
        <v>61</v>
      </c>
      <c r="E124" s="17" t="s">
        <v>63</v>
      </c>
      <c r="F124" s="2" t="s">
        <v>441</v>
      </c>
      <c r="G124" s="2" t="s">
        <v>463</v>
      </c>
      <c r="H124" s="2" t="s">
        <v>442</v>
      </c>
      <c r="I124" s="2">
        <v>21</v>
      </c>
      <c r="J124" s="2" t="s">
        <v>428</v>
      </c>
      <c r="K124" s="2" t="s">
        <v>424</v>
      </c>
      <c r="L124" s="2" t="s">
        <v>478</v>
      </c>
      <c r="M124" s="2">
        <v>8</v>
      </c>
      <c r="N124" s="2" t="s">
        <v>446</v>
      </c>
      <c r="O124" s="26">
        <v>122233333333.33336</v>
      </c>
      <c r="P124" s="3">
        <v>63966666666.666679</v>
      </c>
      <c r="Q124" s="3">
        <v>32511111111.111115</v>
      </c>
      <c r="T124">
        <v>-2.05413515318205E-2</v>
      </c>
      <c r="U124">
        <v>0.99983786313959833</v>
      </c>
      <c r="V124">
        <v>5.1268805131397973E-4</v>
      </c>
      <c r="W124">
        <v>-2.1054039583134478E-2</v>
      </c>
      <c r="X124">
        <v>-2.0028663480506522E-2</v>
      </c>
      <c r="Y124" s="1">
        <f t="shared" si="3"/>
        <v>38.272051299016226</v>
      </c>
      <c r="AA124" s="5">
        <v>0.33300000000000002</v>
      </c>
      <c r="AB124" s="2">
        <v>0.33200000000000002</v>
      </c>
    </row>
    <row r="125" spans="1:29">
      <c r="A125">
        <v>124</v>
      </c>
      <c r="B125" s="19" t="s">
        <v>142</v>
      </c>
      <c r="C125" s="2" t="s">
        <v>479</v>
      </c>
      <c r="D125" s="18" t="s">
        <v>61</v>
      </c>
      <c r="E125" s="17" t="s">
        <v>63</v>
      </c>
      <c r="F125" s="2" t="s">
        <v>441</v>
      </c>
      <c r="G125" s="2" t="s">
        <v>463</v>
      </c>
      <c r="H125" s="2" t="s">
        <v>442</v>
      </c>
      <c r="I125" s="2">
        <v>21</v>
      </c>
      <c r="J125" s="2" t="s">
        <v>428</v>
      </c>
      <c r="K125" s="2" t="s">
        <v>424</v>
      </c>
      <c r="L125" s="2" t="s">
        <v>480</v>
      </c>
      <c r="M125" s="2">
        <v>8</v>
      </c>
      <c r="N125" s="2" t="s">
        <v>446</v>
      </c>
      <c r="O125" s="26">
        <v>113366666666.66669</v>
      </c>
      <c r="P125" s="3">
        <v>114000000000</v>
      </c>
      <c r="Q125" s="3">
        <v>29893333333.333328</v>
      </c>
      <c r="T125">
        <v>-2.0675394012350159E-2</v>
      </c>
      <c r="U125">
        <v>0.74686553904153608</v>
      </c>
      <c r="V125">
        <v>2.359154108235224E-2</v>
      </c>
      <c r="W125">
        <v>-4.4266935094702399E-2</v>
      </c>
      <c r="X125">
        <v>2.9161470700020814E-3</v>
      </c>
      <c r="Y125" s="1">
        <f t="shared" si="3"/>
        <v>36.442129281744911</v>
      </c>
      <c r="AA125" s="5">
        <v>0.29099999999999998</v>
      </c>
      <c r="AB125" s="2">
        <v>0.29799999999999999</v>
      </c>
    </row>
    <row r="126" spans="1:29">
      <c r="A126">
        <v>125</v>
      </c>
      <c r="B126" s="19" t="s">
        <v>142</v>
      </c>
      <c r="C126" s="2" t="s">
        <v>481</v>
      </c>
      <c r="D126" s="18" t="s">
        <v>61</v>
      </c>
      <c r="E126" s="17" t="s">
        <v>63</v>
      </c>
      <c r="F126" s="2" t="s">
        <v>441</v>
      </c>
      <c r="G126" s="2" t="s">
        <v>463</v>
      </c>
      <c r="H126" s="2" t="s">
        <v>442</v>
      </c>
      <c r="I126" s="2">
        <v>21</v>
      </c>
      <c r="J126" s="2" t="s">
        <v>428</v>
      </c>
      <c r="K126" s="2" t="s">
        <v>424</v>
      </c>
      <c r="L126" s="2" t="s">
        <v>482</v>
      </c>
      <c r="M126" s="2">
        <v>8</v>
      </c>
      <c r="N126" s="2" t="s">
        <v>446</v>
      </c>
      <c r="O126" s="26">
        <v>122233333333.33336</v>
      </c>
      <c r="P126" s="3">
        <v>100066666666.66669</v>
      </c>
      <c r="Q126" s="3">
        <v>40279999999.999992</v>
      </c>
      <c r="T126">
        <v>-1.721786404854863E-2</v>
      </c>
      <c r="U126">
        <v>0.88003600554825057</v>
      </c>
      <c r="V126">
        <v>1.2459557074056028E-2</v>
      </c>
      <c r="W126">
        <v>-2.9677421122604658E-2</v>
      </c>
      <c r="X126">
        <v>-4.7583069744926015E-3</v>
      </c>
      <c r="Y126" s="1">
        <f t="shared" si="3"/>
        <v>45.65953461824602</v>
      </c>
      <c r="AA126" s="5">
        <v>0.25700000000000001</v>
      </c>
      <c r="AB126" s="2">
        <v>0.30099999999999999</v>
      </c>
    </row>
    <row r="127" spans="1:29">
      <c r="A127">
        <v>126</v>
      </c>
      <c r="B127" s="7" t="s">
        <v>87</v>
      </c>
      <c r="C127" s="7" t="s">
        <v>483</v>
      </c>
      <c r="D127" s="8" t="s">
        <v>35</v>
      </c>
      <c r="E127" s="17" t="s">
        <v>63</v>
      </c>
      <c r="F127" s="2" t="s">
        <v>441</v>
      </c>
      <c r="G127" s="17" t="s">
        <v>455</v>
      </c>
      <c r="H127" s="2" t="s">
        <v>442</v>
      </c>
      <c r="I127" s="2">
        <v>21</v>
      </c>
      <c r="J127" s="2" t="s">
        <v>428</v>
      </c>
      <c r="K127" s="2" t="s">
        <v>424</v>
      </c>
      <c r="L127" s="2" t="s">
        <v>431</v>
      </c>
      <c r="M127" s="2">
        <v>8</v>
      </c>
      <c r="N127" s="2" t="s">
        <v>446</v>
      </c>
      <c r="O127" s="3">
        <v>126033333333.33336</v>
      </c>
      <c r="P127" s="3">
        <v>102600000000</v>
      </c>
      <c r="Q127" s="3">
        <v>81911111111.11113</v>
      </c>
      <c r="T127">
        <v>-6.6836644833986134E-3</v>
      </c>
      <c r="U127">
        <v>0.99931822171182727</v>
      </c>
      <c r="V127">
        <v>3.4216250085144758E-4</v>
      </c>
      <c r="W127">
        <v>-7.0258269842500606E-3</v>
      </c>
      <c r="X127">
        <v>-6.3415019825471663E-3</v>
      </c>
      <c r="Y127" s="1">
        <f t="shared" si="3"/>
        <v>119.61333920406068</v>
      </c>
      <c r="AA127" s="14">
        <v>0.25800000000000001</v>
      </c>
      <c r="AB127" s="2">
        <v>0.26800000000000002</v>
      </c>
    </row>
    <row r="128" spans="1:29">
      <c r="A128">
        <v>127</v>
      </c>
      <c r="B128" s="7" t="s">
        <v>87</v>
      </c>
      <c r="C128" s="7" t="s">
        <v>484</v>
      </c>
      <c r="D128" s="8" t="s">
        <v>35</v>
      </c>
      <c r="E128" s="17" t="s">
        <v>63</v>
      </c>
      <c r="F128" s="2" t="s">
        <v>441</v>
      </c>
      <c r="G128" s="17" t="s">
        <v>455</v>
      </c>
      <c r="H128" s="2" t="s">
        <v>442</v>
      </c>
      <c r="I128" s="2">
        <v>21</v>
      </c>
      <c r="J128" s="2" t="s">
        <v>428</v>
      </c>
      <c r="K128" s="2" t="s">
        <v>424</v>
      </c>
      <c r="L128" s="2" t="s">
        <v>474</v>
      </c>
      <c r="M128" s="2">
        <v>8</v>
      </c>
      <c r="N128" s="2" t="s">
        <v>446</v>
      </c>
      <c r="O128" s="3">
        <v>140600000000</v>
      </c>
      <c r="P128" s="3">
        <v>133633333333.33336</v>
      </c>
      <c r="Q128" s="3">
        <v>91622222222.222229</v>
      </c>
      <c r="T128">
        <v>-6.6423035592067638E-3</v>
      </c>
      <c r="U128">
        <v>0.83760171359817015</v>
      </c>
      <c r="V128">
        <v>5.7324299049211196E-3</v>
      </c>
      <c r="W128">
        <v>-1.2374733464127884E-2</v>
      </c>
      <c r="X128">
        <v>-9.0987365428564417E-4</v>
      </c>
      <c r="Y128" s="1">
        <f t="shared" si="3"/>
        <v>127.50927708594047</v>
      </c>
      <c r="AA128" s="14">
        <v>0.127</v>
      </c>
      <c r="AB128" s="2">
        <v>0.12</v>
      </c>
    </row>
    <row r="129" spans="1:29">
      <c r="A129">
        <v>128</v>
      </c>
      <c r="B129" s="19" t="s">
        <v>149</v>
      </c>
      <c r="C129" s="2" t="s">
        <v>485</v>
      </c>
      <c r="D129" s="18" t="s">
        <v>35</v>
      </c>
      <c r="E129" s="17" t="s">
        <v>63</v>
      </c>
      <c r="F129" s="2" t="s">
        <v>441</v>
      </c>
      <c r="G129" s="2" t="s">
        <v>459</v>
      </c>
      <c r="H129" s="2" t="s">
        <v>442</v>
      </c>
      <c r="I129" s="2">
        <v>21</v>
      </c>
      <c r="J129" s="2" t="s">
        <v>428</v>
      </c>
      <c r="K129" s="2" t="s">
        <v>424</v>
      </c>
      <c r="L129" s="2" t="s">
        <v>431</v>
      </c>
      <c r="M129" s="2">
        <v>8</v>
      </c>
      <c r="N129" s="2" t="s">
        <v>446</v>
      </c>
      <c r="O129" s="26">
        <v>116955555555.55556</v>
      </c>
      <c r="P129" s="26">
        <v>89933333333.333344</v>
      </c>
      <c r="Q129" s="3">
        <v>73044444444.444458</v>
      </c>
      <c r="T129">
        <v>-7.3012023548447757E-3</v>
      </c>
      <c r="U129">
        <v>0.99551504344749164</v>
      </c>
      <c r="V129">
        <v>9.605006934958213E-4</v>
      </c>
      <c r="W129">
        <v>-8.2617030483405976E-3</v>
      </c>
      <c r="X129">
        <v>-6.3407016613489546E-3</v>
      </c>
      <c r="Y129" s="1">
        <f t="shared" si="3"/>
        <v>105.04993880480637</v>
      </c>
      <c r="Z129" s="5">
        <v>0.31</v>
      </c>
      <c r="AA129" s="5">
        <v>0.30199999999999999</v>
      </c>
      <c r="AB129" s="2">
        <v>0.31109999999999999</v>
      </c>
    </row>
    <row r="130" spans="1:29">
      <c r="A130">
        <v>129</v>
      </c>
      <c r="B130" s="19" t="s">
        <v>149</v>
      </c>
      <c r="C130" s="2" t="s">
        <v>486</v>
      </c>
      <c r="D130" s="18" t="s">
        <v>35</v>
      </c>
      <c r="E130" s="17" t="s">
        <v>63</v>
      </c>
      <c r="F130" s="2" t="s">
        <v>441</v>
      </c>
      <c r="G130" s="2" t="s">
        <v>459</v>
      </c>
      <c r="H130" s="2" t="s">
        <v>442</v>
      </c>
      <c r="I130" s="2">
        <v>21</v>
      </c>
      <c r="J130" s="2" t="s">
        <v>428</v>
      </c>
      <c r="K130" s="2" t="s">
        <v>424</v>
      </c>
      <c r="L130" s="2" t="s">
        <v>474</v>
      </c>
      <c r="M130" s="2">
        <v>8</v>
      </c>
      <c r="N130" s="2" t="s">
        <v>487</v>
      </c>
      <c r="O130" s="3">
        <v>103444444444.44446</v>
      </c>
      <c r="P130" s="3">
        <v>95000000000</v>
      </c>
      <c r="Q130" s="3">
        <v>75577777777.777771</v>
      </c>
      <c r="T130">
        <v>-4.8683233351656339E-3</v>
      </c>
      <c r="U130">
        <v>0.93481528848506557</v>
      </c>
      <c r="V130">
        <v>2.5196340944186593E-3</v>
      </c>
      <c r="W130">
        <v>-7.3879574295842932E-3</v>
      </c>
      <c r="X130">
        <v>-2.3486892407469746E-3</v>
      </c>
      <c r="Y130" s="1">
        <f t="shared" ref="Y130:Y161" si="4">(LOG(20000000000)-LOG(O130))/T130</f>
        <v>146.59609207196485</v>
      </c>
      <c r="AA130" s="13">
        <v>0.11600000000000001</v>
      </c>
      <c r="AB130" s="2">
        <v>0.129</v>
      </c>
    </row>
    <row r="131" spans="1:29">
      <c r="A131">
        <v>130</v>
      </c>
      <c r="B131" s="19" t="s">
        <v>149</v>
      </c>
      <c r="C131" s="2" t="s">
        <v>488</v>
      </c>
      <c r="D131" s="18" t="s">
        <v>35</v>
      </c>
      <c r="E131" s="17" t="s">
        <v>63</v>
      </c>
      <c r="F131" s="2" t="s">
        <v>441</v>
      </c>
      <c r="G131" s="2" t="s">
        <v>459</v>
      </c>
      <c r="H131" s="2" t="s">
        <v>442</v>
      </c>
      <c r="I131" s="2">
        <v>21</v>
      </c>
      <c r="J131" s="2" t="s">
        <v>428</v>
      </c>
      <c r="K131" s="2" t="s">
        <v>424</v>
      </c>
      <c r="L131" s="2" t="s">
        <v>489</v>
      </c>
      <c r="M131" s="2">
        <v>8</v>
      </c>
      <c r="N131" s="2" t="s">
        <v>490</v>
      </c>
      <c r="O131" s="3">
        <v>101333333333.33334</v>
      </c>
      <c r="P131" s="3">
        <v>78533333333.333344</v>
      </c>
      <c r="Q131" s="3">
        <v>72622222222.222229</v>
      </c>
      <c r="T131">
        <v>-5.1672426715733992E-3</v>
      </c>
      <c r="U131">
        <v>0.91431806583820963</v>
      </c>
      <c r="V131">
        <v>3.1002943533649033E-3</v>
      </c>
      <c r="W131">
        <v>-8.2675370249383033E-3</v>
      </c>
      <c r="X131">
        <v>-2.0669483182084959E-3</v>
      </c>
      <c r="Y131" s="1">
        <f t="shared" si="4"/>
        <v>136.38266634969665</v>
      </c>
      <c r="AA131" s="13">
        <v>0.32200000000000001</v>
      </c>
      <c r="AB131" s="2">
        <v>0.35</v>
      </c>
    </row>
    <row r="132" spans="1:29">
      <c r="A132">
        <v>131</v>
      </c>
      <c r="B132" s="19" t="s">
        <v>149</v>
      </c>
      <c r="C132" s="2" t="s">
        <v>491</v>
      </c>
      <c r="D132" s="18" t="s">
        <v>35</v>
      </c>
      <c r="E132" s="17" t="s">
        <v>63</v>
      </c>
      <c r="F132" s="2" t="s">
        <v>441</v>
      </c>
      <c r="G132" s="2" t="s">
        <v>459</v>
      </c>
      <c r="H132" s="2" t="s">
        <v>442</v>
      </c>
      <c r="I132" s="2">
        <v>21</v>
      </c>
      <c r="J132" s="2" t="s">
        <v>428</v>
      </c>
      <c r="K132" s="2" t="s">
        <v>424</v>
      </c>
      <c r="L132" s="2" t="s">
        <v>482</v>
      </c>
      <c r="M132" s="2">
        <v>8</v>
      </c>
      <c r="N132" s="2" t="s">
        <v>492</v>
      </c>
      <c r="O132" s="3">
        <v>87822222222.222229</v>
      </c>
      <c r="P132" s="3">
        <v>57422222222.222229</v>
      </c>
      <c r="Q132" s="3">
        <v>39266666666.666672</v>
      </c>
      <c r="T132">
        <v>-1.2485013800315182E-2</v>
      </c>
      <c r="U132">
        <v>0.99896724007783222</v>
      </c>
      <c r="V132">
        <v>7.8679425958406762E-4</v>
      </c>
      <c r="W132">
        <v>-1.327180805989925E-2</v>
      </c>
      <c r="X132">
        <v>-1.1698219540731114E-2</v>
      </c>
      <c r="Y132" s="1">
        <f t="shared" si="4"/>
        <v>51.467658486692578</v>
      </c>
      <c r="AA132" s="13">
        <v>0.379</v>
      </c>
      <c r="AB132" s="2">
        <v>0.39700000000000002</v>
      </c>
    </row>
    <row r="133" spans="1:29">
      <c r="A133">
        <v>132</v>
      </c>
      <c r="B133" s="19" t="s">
        <v>149</v>
      </c>
      <c r="C133" s="2" t="s">
        <v>493</v>
      </c>
      <c r="D133" s="18" t="s">
        <v>35</v>
      </c>
      <c r="E133" s="17" t="s">
        <v>63</v>
      </c>
      <c r="F133" s="2" t="s">
        <v>441</v>
      </c>
      <c r="G133" s="2" t="s">
        <v>459</v>
      </c>
      <c r="H133" s="2" t="s">
        <v>442</v>
      </c>
      <c r="I133" s="2">
        <v>21</v>
      </c>
      <c r="J133" s="2" t="s">
        <v>428</v>
      </c>
      <c r="K133" s="2" t="s">
        <v>424</v>
      </c>
      <c r="L133" s="2" t="s">
        <v>476</v>
      </c>
      <c r="M133" s="2">
        <v>8</v>
      </c>
      <c r="N133" s="2" t="s">
        <v>494</v>
      </c>
      <c r="O133" s="3">
        <v>71777777777.777771</v>
      </c>
      <c r="P133" s="3">
        <v>53622222222.222229</v>
      </c>
      <c r="Q133" s="3">
        <v>35044444444.44445</v>
      </c>
      <c r="T133">
        <v>-1.1120386750078599E-2</v>
      </c>
      <c r="U133">
        <v>0.98853498670876283</v>
      </c>
      <c r="V133">
        <v>2.3472494261478007E-3</v>
      </c>
      <c r="W133">
        <v>-1.34676361762264E-2</v>
      </c>
      <c r="X133">
        <v>-8.7731373239307991E-3</v>
      </c>
      <c r="Y133" s="1">
        <f t="shared" si="4"/>
        <v>49.904740308411959</v>
      </c>
      <c r="AA133" s="13">
        <v>0.34899999999999998</v>
      </c>
      <c r="AB133" s="2">
        <v>0.36599999999999999</v>
      </c>
    </row>
    <row r="134" spans="1:29">
      <c r="A134">
        <v>133</v>
      </c>
      <c r="B134" s="19" t="s">
        <v>149</v>
      </c>
      <c r="C134" s="2" t="s">
        <v>495</v>
      </c>
      <c r="D134" s="18" t="s">
        <v>35</v>
      </c>
      <c r="E134" s="17" t="s">
        <v>63</v>
      </c>
      <c r="F134" s="2" t="s">
        <v>441</v>
      </c>
      <c r="G134" s="2" t="s">
        <v>459</v>
      </c>
      <c r="H134" s="2" t="s">
        <v>442</v>
      </c>
      <c r="I134" s="2">
        <v>21</v>
      </c>
      <c r="J134" s="2" t="s">
        <v>428</v>
      </c>
      <c r="K134" s="2" t="s">
        <v>424</v>
      </c>
      <c r="L134" s="2" t="s">
        <v>478</v>
      </c>
      <c r="M134" s="2">
        <v>8</v>
      </c>
      <c r="N134" s="2" t="s">
        <v>496</v>
      </c>
      <c r="O134" s="3">
        <v>55311111111.111115</v>
      </c>
      <c r="P134" s="3">
        <v>43488888888.888901</v>
      </c>
      <c r="Q134" s="3">
        <v>25755555555.555557</v>
      </c>
      <c r="T134">
        <v>-1.1855052165892785E-2</v>
      </c>
      <c r="U134">
        <v>0.95618474167160572</v>
      </c>
      <c r="V134">
        <v>4.9738575619967399E-3</v>
      </c>
      <c r="W134">
        <v>-1.6828909727889526E-2</v>
      </c>
      <c r="X134">
        <v>-6.8811946038960453E-3</v>
      </c>
      <c r="Y134" s="1">
        <f t="shared" si="4"/>
        <v>37.265326291881323</v>
      </c>
      <c r="AA134" s="13">
        <v>0.377</v>
      </c>
      <c r="AB134" s="2">
        <v>0.39800000000000002</v>
      </c>
    </row>
    <row r="135" spans="1:29">
      <c r="A135">
        <v>134</v>
      </c>
      <c r="B135" s="19" t="s">
        <v>132</v>
      </c>
      <c r="C135" s="2" t="s">
        <v>497</v>
      </c>
      <c r="D135" s="18" t="s">
        <v>61</v>
      </c>
      <c r="E135" s="17" t="s">
        <v>63</v>
      </c>
      <c r="F135" s="2" t="s">
        <v>441</v>
      </c>
      <c r="G135" s="2" t="s">
        <v>459</v>
      </c>
      <c r="H135" s="2" t="s">
        <v>442</v>
      </c>
      <c r="I135" s="2">
        <v>21</v>
      </c>
      <c r="J135" s="2" t="s">
        <v>428</v>
      </c>
      <c r="K135" s="2" t="s">
        <v>498</v>
      </c>
      <c r="L135" s="2" t="s">
        <v>434</v>
      </c>
      <c r="M135" s="2">
        <v>8</v>
      </c>
      <c r="N135" s="2" t="s">
        <v>499</v>
      </c>
      <c r="O135" s="3">
        <v>92044444444.444458</v>
      </c>
      <c r="Q135" s="3">
        <v>57422222222.222229</v>
      </c>
      <c r="T135">
        <v>-7.3184851869424056E-3</v>
      </c>
      <c r="U135">
        <v>1</v>
      </c>
      <c r="Y135" s="1">
        <f t="shared" si="4"/>
        <v>90.588088680014167</v>
      </c>
      <c r="AA135" s="13">
        <v>0.28199999999999997</v>
      </c>
      <c r="AB135" s="2">
        <v>0.32800000000000001</v>
      </c>
    </row>
    <row r="136" spans="1:29">
      <c r="A136">
        <v>135</v>
      </c>
      <c r="B136" s="19" t="s">
        <v>142</v>
      </c>
      <c r="C136" s="2" t="s">
        <v>500</v>
      </c>
      <c r="D136" s="18" t="s">
        <v>61</v>
      </c>
      <c r="E136" s="17" t="s">
        <v>63</v>
      </c>
      <c r="F136" s="2" t="s">
        <v>441</v>
      </c>
      <c r="G136" s="2" t="s">
        <v>463</v>
      </c>
      <c r="H136" s="2" t="s">
        <v>442</v>
      </c>
      <c r="I136" s="2">
        <v>21</v>
      </c>
      <c r="J136" s="2" t="s">
        <v>428</v>
      </c>
      <c r="K136" s="2" t="s">
        <v>39</v>
      </c>
      <c r="L136" s="2" t="s">
        <v>434</v>
      </c>
      <c r="M136" s="2">
        <v>8</v>
      </c>
      <c r="N136" s="2" t="s">
        <v>501</v>
      </c>
      <c r="O136" s="26">
        <v>106822222222.22223</v>
      </c>
      <c r="Q136" s="3">
        <v>38000000000</v>
      </c>
      <c r="T136">
        <v>-1.6031357562017529E-2</v>
      </c>
      <c r="U136">
        <v>0.99999999999999234</v>
      </c>
      <c r="Y136" s="1">
        <f t="shared" si="4"/>
        <v>45.388022185549111</v>
      </c>
      <c r="AA136" s="5">
        <v>0.32600000000000001</v>
      </c>
      <c r="AB136" s="2">
        <v>0.30499999999999999</v>
      </c>
    </row>
    <row r="137" spans="1:29">
      <c r="A137">
        <v>136</v>
      </c>
      <c r="B137" s="7" t="s">
        <v>87</v>
      </c>
      <c r="C137" s="2" t="s">
        <v>502</v>
      </c>
      <c r="D137" s="8" t="s">
        <v>35</v>
      </c>
      <c r="E137" s="17" t="s">
        <v>63</v>
      </c>
      <c r="F137" s="2" t="s">
        <v>441</v>
      </c>
      <c r="G137" s="17" t="s">
        <v>455</v>
      </c>
      <c r="H137" s="2" t="s">
        <v>442</v>
      </c>
      <c r="I137" s="2">
        <v>21</v>
      </c>
      <c r="J137" s="2" t="s">
        <v>428</v>
      </c>
      <c r="K137" s="2" t="s">
        <v>39</v>
      </c>
      <c r="L137" s="2" t="s">
        <v>434</v>
      </c>
      <c r="M137" s="2">
        <v>8</v>
      </c>
      <c r="N137" s="2" t="s">
        <v>446</v>
      </c>
      <c r="O137" s="26"/>
      <c r="P137" s="26"/>
      <c r="Q137" s="3">
        <v>67977777777.777779</v>
      </c>
      <c r="R137" s="3">
        <v>41377777777.777779</v>
      </c>
      <c r="T137"/>
      <c r="U137"/>
      <c r="Y137" s="1" t="e">
        <f t="shared" si="4"/>
        <v>#NUM!</v>
      </c>
      <c r="Z137" s="14"/>
      <c r="AA137" s="5"/>
      <c r="AB137" s="2">
        <v>0.27700000000000002</v>
      </c>
      <c r="AC137" s="2">
        <v>0.26</v>
      </c>
    </row>
    <row r="138" spans="1:29">
      <c r="A138">
        <v>137</v>
      </c>
      <c r="B138" s="7" t="s">
        <v>87</v>
      </c>
      <c r="C138" s="2" t="s">
        <v>503</v>
      </c>
      <c r="D138" s="8" t="s">
        <v>35</v>
      </c>
      <c r="E138" s="17" t="s">
        <v>63</v>
      </c>
      <c r="F138" s="2" t="s">
        <v>441</v>
      </c>
      <c r="G138" s="17" t="s">
        <v>455</v>
      </c>
      <c r="H138" s="2" t="s">
        <v>442</v>
      </c>
      <c r="I138" s="2">
        <v>21</v>
      </c>
      <c r="J138" s="2" t="s">
        <v>428</v>
      </c>
      <c r="K138" s="2" t="s">
        <v>498</v>
      </c>
      <c r="L138" s="2" t="s">
        <v>434</v>
      </c>
      <c r="M138" s="2">
        <v>8</v>
      </c>
      <c r="N138" s="2" t="s">
        <v>446</v>
      </c>
      <c r="O138" s="26"/>
      <c r="P138" s="26"/>
      <c r="Q138" s="3">
        <v>32933333333.33334</v>
      </c>
      <c r="R138" s="3">
        <v>21533333333.333336</v>
      </c>
      <c r="T138"/>
      <c r="U138"/>
      <c r="Y138" s="1" t="e">
        <f t="shared" si="4"/>
        <v>#NUM!</v>
      </c>
      <c r="Z138" s="14"/>
      <c r="AA138" s="5"/>
      <c r="AB138" s="2">
        <v>0.27400000000000002</v>
      </c>
      <c r="AC138" s="2">
        <v>0.26200000000000001</v>
      </c>
    </row>
    <row r="139" spans="1:29" ht="16">
      <c r="A139">
        <v>138</v>
      </c>
      <c r="B139" s="19" t="s">
        <v>107</v>
      </c>
      <c r="C139" s="17" t="s">
        <v>504</v>
      </c>
      <c r="D139" s="18" t="s">
        <v>61</v>
      </c>
      <c r="E139" s="17" t="s">
        <v>63</v>
      </c>
      <c r="F139" s="2" t="s">
        <v>441</v>
      </c>
      <c r="G139" s="21" t="s">
        <v>457</v>
      </c>
      <c r="H139" s="2" t="s">
        <v>442</v>
      </c>
      <c r="I139" s="2">
        <v>21</v>
      </c>
      <c r="J139" s="2" t="s">
        <v>428</v>
      </c>
      <c r="K139" s="2" t="s">
        <v>39</v>
      </c>
      <c r="L139" s="2" t="s">
        <v>434</v>
      </c>
      <c r="M139" s="2">
        <v>8</v>
      </c>
      <c r="N139" s="2" t="s">
        <v>446</v>
      </c>
      <c r="O139" s="23">
        <v>65022222222.222229</v>
      </c>
      <c r="P139" s="23"/>
      <c r="Q139" s="3">
        <v>26600000000</v>
      </c>
      <c r="R139" s="3">
        <v>8022222222.2222223</v>
      </c>
      <c r="T139">
        <v>-1.3863577549388582E-2</v>
      </c>
      <c r="U139">
        <v>0.99999999999999079</v>
      </c>
      <c r="Y139" s="1">
        <f t="shared" si="4"/>
        <v>36.933598887146488</v>
      </c>
      <c r="AB139" s="2">
        <v>0.251</v>
      </c>
      <c r="AC139" s="2">
        <v>0.253</v>
      </c>
    </row>
    <row r="140" spans="1:29" ht="16">
      <c r="A140">
        <v>139</v>
      </c>
      <c r="B140" s="19" t="s">
        <v>107</v>
      </c>
      <c r="C140" s="17" t="s">
        <v>505</v>
      </c>
      <c r="D140" s="18" t="s">
        <v>61</v>
      </c>
      <c r="E140" s="17" t="s">
        <v>63</v>
      </c>
      <c r="F140" s="2" t="s">
        <v>441</v>
      </c>
      <c r="G140" s="21" t="s">
        <v>457</v>
      </c>
      <c r="H140" s="2" t="s">
        <v>442</v>
      </c>
      <c r="I140" s="2">
        <v>21</v>
      </c>
      <c r="J140" s="2" t="s">
        <v>428</v>
      </c>
      <c r="K140" s="2" t="s">
        <v>498</v>
      </c>
      <c r="L140" s="2" t="s">
        <v>434</v>
      </c>
      <c r="M140" s="2">
        <v>8</v>
      </c>
      <c r="N140" s="2" t="s">
        <v>446</v>
      </c>
      <c r="O140" s="23">
        <v>65022222222.222229</v>
      </c>
      <c r="P140" s="23"/>
      <c r="Q140" s="3">
        <v>27444444444.44445</v>
      </c>
      <c r="R140" s="3">
        <v>7177777777.7777786</v>
      </c>
      <c r="T140">
        <v>-1.3378834435485992E-2</v>
      </c>
      <c r="U140">
        <v>1</v>
      </c>
      <c r="Y140" s="1">
        <f t="shared" si="4"/>
        <v>38.271780312330883</v>
      </c>
      <c r="AB140" s="2">
        <v>0.25800000000000001</v>
      </c>
      <c r="AC140" s="2">
        <v>0.26200000000000001</v>
      </c>
    </row>
    <row r="141" spans="1:29">
      <c r="A141">
        <v>140</v>
      </c>
      <c r="B141" s="19" t="s">
        <v>101</v>
      </c>
      <c r="C141" s="17" t="s">
        <v>506</v>
      </c>
      <c r="D141" s="18" t="s">
        <v>35</v>
      </c>
      <c r="E141" s="17" t="s">
        <v>63</v>
      </c>
      <c r="F141" s="2" t="s">
        <v>441</v>
      </c>
      <c r="G141" s="17" t="s">
        <v>105</v>
      </c>
      <c r="H141" s="2" t="s">
        <v>442</v>
      </c>
      <c r="I141" s="2">
        <v>21</v>
      </c>
      <c r="J141" s="2" t="s">
        <v>428</v>
      </c>
      <c r="K141" s="2" t="s">
        <v>498</v>
      </c>
      <c r="L141" s="2" t="s">
        <v>434</v>
      </c>
      <c r="M141" s="2">
        <v>8</v>
      </c>
      <c r="N141" s="2" t="s">
        <v>446</v>
      </c>
      <c r="O141" s="23">
        <v>100066666666.66669</v>
      </c>
      <c r="P141" s="23"/>
      <c r="Q141" s="3">
        <v>90355555555.555557</v>
      </c>
      <c r="R141" s="3">
        <v>46866666666.666672</v>
      </c>
      <c r="T141">
        <v>-1.5833775950325785E-3</v>
      </c>
      <c r="U141">
        <v>0.99999999999991973</v>
      </c>
      <c r="Y141" s="1">
        <f t="shared" si="4"/>
        <v>441.62519396342765</v>
      </c>
      <c r="AB141" s="2">
        <v>0.26300000000000001</v>
      </c>
      <c r="AC141" s="2">
        <v>0.27400000000000002</v>
      </c>
    </row>
    <row r="142" spans="1:29">
      <c r="A142">
        <v>141</v>
      </c>
      <c r="B142" s="19" t="s">
        <v>126</v>
      </c>
      <c r="C142" s="17" t="s">
        <v>507</v>
      </c>
      <c r="D142" s="18" t="s">
        <v>35</v>
      </c>
      <c r="E142" s="17" t="s">
        <v>39</v>
      </c>
      <c r="F142" s="2" t="s">
        <v>441</v>
      </c>
      <c r="G142" s="17" t="s">
        <v>105</v>
      </c>
      <c r="H142" s="2" t="s">
        <v>442</v>
      </c>
      <c r="I142" s="2">
        <v>21</v>
      </c>
      <c r="J142" s="2" t="s">
        <v>428</v>
      </c>
      <c r="K142" s="2" t="s">
        <v>498</v>
      </c>
      <c r="L142" s="2" t="s">
        <v>434</v>
      </c>
      <c r="M142" s="2">
        <v>8</v>
      </c>
      <c r="N142" s="2" t="s">
        <v>446</v>
      </c>
      <c r="O142" s="23">
        <v>117800000000</v>
      </c>
      <c r="P142" s="23"/>
      <c r="Q142" s="3">
        <v>80644444444.444443</v>
      </c>
      <c r="R142" s="3">
        <v>62911111111.111122</v>
      </c>
      <c r="T142">
        <v>-5.8775298580668158E-3</v>
      </c>
      <c r="U142">
        <v>1</v>
      </c>
      <c r="Y142" s="1">
        <f t="shared" si="4"/>
        <v>131.02703233912644</v>
      </c>
      <c r="AB142" s="2">
        <v>0.253</v>
      </c>
      <c r="AC142" s="2">
        <v>0.248</v>
      </c>
    </row>
    <row r="143" spans="1:29">
      <c r="A143">
        <v>142</v>
      </c>
      <c r="B143" s="19" t="s">
        <v>169</v>
      </c>
      <c r="C143" s="2" t="s">
        <v>508</v>
      </c>
      <c r="D143" s="18" t="s">
        <v>61</v>
      </c>
      <c r="E143" s="2" t="s">
        <v>39</v>
      </c>
      <c r="F143" s="2" t="s">
        <v>441</v>
      </c>
      <c r="G143" s="2" t="s">
        <v>463</v>
      </c>
      <c r="H143" s="2" t="s">
        <v>442</v>
      </c>
      <c r="I143" s="2">
        <v>21</v>
      </c>
      <c r="J143" s="2" t="s">
        <v>428</v>
      </c>
      <c r="K143" s="2" t="s">
        <v>498</v>
      </c>
      <c r="L143" s="2" t="s">
        <v>434</v>
      </c>
      <c r="M143" s="2">
        <v>8</v>
      </c>
      <c r="N143" s="2" t="s">
        <v>460</v>
      </c>
      <c r="O143" s="26">
        <v>51511111111.111115</v>
      </c>
      <c r="P143" s="26"/>
      <c r="Q143" s="3">
        <v>34200000000</v>
      </c>
      <c r="R143" s="3">
        <v>16044444444.444445</v>
      </c>
      <c r="T143">
        <v>-6.3526718498606001E-3</v>
      </c>
      <c r="U143">
        <v>0.99999999999998024</v>
      </c>
      <c r="Y143" s="1">
        <f t="shared" si="4"/>
        <v>64.67686855213023</v>
      </c>
      <c r="Z143" s="5"/>
      <c r="AA143" s="5"/>
      <c r="AB143" s="2">
        <v>0.23599999999999999</v>
      </c>
      <c r="AC143" s="2">
        <v>0.218</v>
      </c>
    </row>
    <row r="144" spans="1:29">
      <c r="A144">
        <v>143</v>
      </c>
      <c r="B144" s="2" t="s">
        <v>300</v>
      </c>
      <c r="C144" s="2" t="s">
        <v>509</v>
      </c>
      <c r="D144" s="18" t="s">
        <v>61</v>
      </c>
      <c r="E144" s="17" t="s">
        <v>63</v>
      </c>
      <c r="F144" s="2" t="s">
        <v>441</v>
      </c>
      <c r="G144" s="2" t="s">
        <v>463</v>
      </c>
      <c r="H144" s="2" t="s">
        <v>442</v>
      </c>
      <c r="I144" s="2">
        <v>21</v>
      </c>
      <c r="J144" s="2" t="s">
        <v>428</v>
      </c>
      <c r="K144" s="2" t="s">
        <v>424</v>
      </c>
      <c r="L144" s="2" t="s">
        <v>434</v>
      </c>
      <c r="M144" s="2">
        <v>8</v>
      </c>
      <c r="N144" s="2" t="s">
        <v>460</v>
      </c>
      <c r="O144" s="3">
        <v>87400000000</v>
      </c>
      <c r="T144"/>
      <c r="U144"/>
      <c r="Y144" s="1" t="e">
        <f t="shared" si="4"/>
        <v>#DIV/0!</v>
      </c>
    </row>
    <row r="145" spans="1:27">
      <c r="A145">
        <v>144</v>
      </c>
      <c r="B145" s="2" t="s">
        <v>300</v>
      </c>
      <c r="C145" s="2" t="s">
        <v>510</v>
      </c>
      <c r="D145" s="18" t="s">
        <v>61</v>
      </c>
      <c r="E145" s="17" t="s">
        <v>63</v>
      </c>
      <c r="F145" s="2" t="s">
        <v>441</v>
      </c>
      <c r="G145" s="2" t="s">
        <v>463</v>
      </c>
      <c r="H145" s="2" t="s">
        <v>442</v>
      </c>
      <c r="I145" s="2">
        <v>21</v>
      </c>
      <c r="J145" s="2" t="s">
        <v>428</v>
      </c>
      <c r="K145" s="2" t="s">
        <v>424</v>
      </c>
      <c r="L145" s="2" t="s">
        <v>511</v>
      </c>
      <c r="M145" s="2">
        <v>8</v>
      </c>
      <c r="N145" s="2" t="s">
        <v>460</v>
      </c>
      <c r="O145" s="3">
        <v>100911111111.11113</v>
      </c>
      <c r="T145"/>
      <c r="U145"/>
      <c r="Y145" s="1" t="e">
        <f t="shared" si="4"/>
        <v>#DIV/0!</v>
      </c>
    </row>
    <row r="146" spans="1:27">
      <c r="A146">
        <v>145</v>
      </c>
      <c r="B146" s="2" t="s">
        <v>300</v>
      </c>
      <c r="C146" s="2" t="s">
        <v>512</v>
      </c>
      <c r="D146" s="18" t="s">
        <v>61</v>
      </c>
      <c r="E146" s="17" t="s">
        <v>63</v>
      </c>
      <c r="F146" s="2" t="s">
        <v>441</v>
      </c>
      <c r="G146" s="2" t="s">
        <v>463</v>
      </c>
      <c r="H146" s="2" t="s">
        <v>442</v>
      </c>
      <c r="I146" s="2">
        <v>21</v>
      </c>
      <c r="J146" s="2" t="s">
        <v>428</v>
      </c>
      <c r="K146" s="2" t="s">
        <v>424</v>
      </c>
      <c r="L146" s="2" t="s">
        <v>480</v>
      </c>
      <c r="M146" s="2">
        <v>8</v>
      </c>
      <c r="N146" s="2" t="s">
        <v>460</v>
      </c>
      <c r="O146" s="3">
        <v>84444444444.444458</v>
      </c>
      <c r="T146"/>
      <c r="U146"/>
      <c r="Y146" s="1" t="e">
        <f t="shared" si="4"/>
        <v>#DIV/0!</v>
      </c>
    </row>
    <row r="147" spans="1:27">
      <c r="A147">
        <v>146</v>
      </c>
      <c r="B147" s="2" t="s">
        <v>305</v>
      </c>
      <c r="C147" s="2" t="s">
        <v>337</v>
      </c>
      <c r="D147" s="18" t="s">
        <v>61</v>
      </c>
      <c r="E147" s="17" t="s">
        <v>63</v>
      </c>
      <c r="F147" s="2" t="s">
        <v>441</v>
      </c>
      <c r="G147" s="2" t="s">
        <v>457</v>
      </c>
      <c r="H147" s="2" t="s">
        <v>442</v>
      </c>
      <c r="I147" s="2">
        <v>21</v>
      </c>
      <c r="J147" s="2" t="s">
        <v>428</v>
      </c>
      <c r="K147" s="2" t="s">
        <v>424</v>
      </c>
      <c r="L147" s="2" t="s">
        <v>434</v>
      </c>
      <c r="M147" s="2">
        <v>8</v>
      </c>
      <c r="N147" s="2" t="s">
        <v>460</v>
      </c>
      <c r="O147" s="3">
        <v>108933333333.33334</v>
      </c>
      <c r="T147"/>
      <c r="U147"/>
      <c r="Y147" s="1" t="e">
        <f t="shared" si="4"/>
        <v>#DIV/0!</v>
      </c>
    </row>
    <row r="148" spans="1:27">
      <c r="A148">
        <v>147</v>
      </c>
      <c r="B148" s="2" t="s">
        <v>305</v>
      </c>
      <c r="C148" s="2" t="s">
        <v>513</v>
      </c>
      <c r="D148" s="18" t="s">
        <v>61</v>
      </c>
      <c r="E148" s="17" t="s">
        <v>63</v>
      </c>
      <c r="F148" s="2" t="s">
        <v>441</v>
      </c>
      <c r="G148" s="2" t="s">
        <v>457</v>
      </c>
      <c r="H148" s="2" t="s">
        <v>442</v>
      </c>
      <c r="I148" s="2">
        <v>21</v>
      </c>
      <c r="J148" s="2" t="s">
        <v>428</v>
      </c>
      <c r="K148" s="2" t="s">
        <v>424</v>
      </c>
      <c r="L148" s="2" t="s">
        <v>511</v>
      </c>
      <c r="M148" s="2">
        <v>8</v>
      </c>
      <c r="N148" s="2" t="s">
        <v>460</v>
      </c>
      <c r="O148" s="3">
        <v>142711111111.11111</v>
      </c>
      <c r="T148"/>
      <c r="U148"/>
      <c r="Y148" s="1" t="e">
        <f t="shared" si="4"/>
        <v>#DIV/0!</v>
      </c>
    </row>
    <row r="149" spans="1:27">
      <c r="A149">
        <v>148</v>
      </c>
      <c r="B149" s="2" t="s">
        <v>305</v>
      </c>
      <c r="C149" s="2" t="s">
        <v>514</v>
      </c>
      <c r="D149" s="18" t="s">
        <v>61</v>
      </c>
      <c r="E149" s="17" t="s">
        <v>63</v>
      </c>
      <c r="F149" s="2" t="s">
        <v>441</v>
      </c>
      <c r="G149" s="2" t="s">
        <v>457</v>
      </c>
      <c r="H149" s="2" t="s">
        <v>442</v>
      </c>
      <c r="I149" s="2">
        <v>21</v>
      </c>
      <c r="J149" s="2" t="s">
        <v>428</v>
      </c>
      <c r="K149" s="2" t="s">
        <v>424</v>
      </c>
      <c r="L149" s="2" t="s">
        <v>480</v>
      </c>
      <c r="M149" s="2">
        <v>8</v>
      </c>
      <c r="N149" s="2" t="s">
        <v>460</v>
      </c>
      <c r="O149" s="3">
        <v>107244444444.44446</v>
      </c>
      <c r="T149"/>
      <c r="U149"/>
      <c r="Y149" s="1" t="e">
        <f t="shared" si="4"/>
        <v>#DIV/0!</v>
      </c>
    </row>
    <row r="150" spans="1:27">
      <c r="A150">
        <v>149</v>
      </c>
      <c r="B150" s="2" t="s">
        <v>300</v>
      </c>
      <c r="C150" s="2" t="s">
        <v>345</v>
      </c>
      <c r="D150" s="18" t="s">
        <v>61</v>
      </c>
      <c r="E150" s="17" t="s">
        <v>63</v>
      </c>
      <c r="F150" s="2" t="s">
        <v>441</v>
      </c>
      <c r="G150" s="2" t="s">
        <v>463</v>
      </c>
      <c r="H150" s="2" t="s">
        <v>442</v>
      </c>
      <c r="I150" s="2">
        <v>21</v>
      </c>
      <c r="J150" s="2" t="s">
        <v>428</v>
      </c>
      <c r="K150" s="2" t="s">
        <v>424</v>
      </c>
      <c r="L150" s="2" t="s">
        <v>434</v>
      </c>
      <c r="M150" s="2">
        <v>8</v>
      </c>
      <c r="N150" s="2" t="s">
        <v>460</v>
      </c>
      <c r="O150" s="3">
        <v>73044444444.444458</v>
      </c>
      <c r="T150"/>
      <c r="U150"/>
      <c r="Y150" s="1" t="e">
        <f t="shared" si="4"/>
        <v>#DIV/0!</v>
      </c>
    </row>
    <row r="151" spans="1:27">
      <c r="A151">
        <v>150</v>
      </c>
      <c r="B151" s="2" t="s">
        <v>300</v>
      </c>
      <c r="C151" s="2" t="s">
        <v>515</v>
      </c>
      <c r="D151" s="18" t="s">
        <v>61</v>
      </c>
      <c r="E151" s="17" t="s">
        <v>63</v>
      </c>
      <c r="F151" s="2" t="s">
        <v>441</v>
      </c>
      <c r="G151" s="2" t="s">
        <v>463</v>
      </c>
      <c r="H151" s="2" t="s">
        <v>442</v>
      </c>
      <c r="I151" s="2">
        <v>21</v>
      </c>
      <c r="J151" s="2" t="s">
        <v>428</v>
      </c>
      <c r="K151" s="2" t="s">
        <v>424</v>
      </c>
      <c r="L151" s="2" t="s">
        <v>511</v>
      </c>
      <c r="M151" s="2">
        <v>8</v>
      </c>
      <c r="N151" s="2" t="s">
        <v>460</v>
      </c>
      <c r="O151" s="3">
        <v>76000000000</v>
      </c>
      <c r="T151"/>
      <c r="U151"/>
      <c r="Y151" s="1" t="e">
        <f t="shared" si="4"/>
        <v>#DIV/0!</v>
      </c>
    </row>
    <row r="152" spans="1:27">
      <c r="A152">
        <v>151</v>
      </c>
      <c r="B152" s="2" t="s">
        <v>300</v>
      </c>
      <c r="C152" s="2" t="s">
        <v>516</v>
      </c>
      <c r="D152" s="18" t="s">
        <v>61</v>
      </c>
      <c r="E152" s="17" t="s">
        <v>63</v>
      </c>
      <c r="F152" s="2" t="s">
        <v>441</v>
      </c>
      <c r="G152" s="2" t="s">
        <v>463</v>
      </c>
      <c r="H152" s="2" t="s">
        <v>442</v>
      </c>
      <c r="I152" s="2">
        <v>21</v>
      </c>
      <c r="J152" s="2" t="s">
        <v>428</v>
      </c>
      <c r="K152" s="2" t="s">
        <v>424</v>
      </c>
      <c r="L152" s="2" t="s">
        <v>480</v>
      </c>
      <c r="M152" s="2">
        <v>8</v>
      </c>
      <c r="N152" s="2" t="s">
        <v>460</v>
      </c>
      <c r="O152" s="3">
        <v>64177777777.777779</v>
      </c>
      <c r="T152"/>
      <c r="U152"/>
      <c r="Y152" s="1" t="e">
        <f t="shared" si="4"/>
        <v>#DIV/0!</v>
      </c>
    </row>
    <row r="153" spans="1:27">
      <c r="A153">
        <v>152</v>
      </c>
      <c r="B153" s="2" t="s">
        <v>305</v>
      </c>
      <c r="C153" s="2" t="s">
        <v>517</v>
      </c>
      <c r="D153" s="18" t="s">
        <v>61</v>
      </c>
      <c r="E153" s="17" t="s">
        <v>63</v>
      </c>
      <c r="F153" s="2" t="s">
        <v>441</v>
      </c>
      <c r="G153" s="2" t="s">
        <v>457</v>
      </c>
      <c r="H153" s="2" t="s">
        <v>442</v>
      </c>
      <c r="I153" s="2">
        <v>21</v>
      </c>
      <c r="J153" s="2" t="s">
        <v>428</v>
      </c>
      <c r="K153" s="2" t="s">
        <v>424</v>
      </c>
      <c r="L153" s="2" t="s">
        <v>434</v>
      </c>
      <c r="M153" s="2">
        <v>8</v>
      </c>
      <c r="N153" s="2" t="s">
        <v>460</v>
      </c>
      <c r="O153" s="3">
        <v>73888888888.888901</v>
      </c>
      <c r="T153"/>
      <c r="U153"/>
      <c r="Y153" s="1" t="e">
        <f t="shared" si="4"/>
        <v>#DIV/0!</v>
      </c>
    </row>
    <row r="154" spans="1:27">
      <c r="A154">
        <v>153</v>
      </c>
      <c r="B154" s="2" t="s">
        <v>305</v>
      </c>
      <c r="C154" s="2" t="s">
        <v>518</v>
      </c>
      <c r="D154" s="18" t="s">
        <v>61</v>
      </c>
      <c r="E154" s="17" t="s">
        <v>63</v>
      </c>
      <c r="F154" s="2" t="s">
        <v>441</v>
      </c>
      <c r="G154" s="2" t="s">
        <v>457</v>
      </c>
      <c r="H154" s="2" t="s">
        <v>442</v>
      </c>
      <c r="I154" s="2">
        <v>21</v>
      </c>
      <c r="J154" s="2" t="s">
        <v>428</v>
      </c>
      <c r="K154" s="2" t="s">
        <v>424</v>
      </c>
      <c r="L154" s="2" t="s">
        <v>511</v>
      </c>
      <c r="M154" s="2">
        <v>8</v>
      </c>
      <c r="N154" s="2" t="s">
        <v>460</v>
      </c>
      <c r="O154" s="3">
        <v>78111111111.11113</v>
      </c>
      <c r="T154"/>
      <c r="U154"/>
      <c r="Y154" s="1" t="e">
        <f t="shared" si="4"/>
        <v>#DIV/0!</v>
      </c>
    </row>
    <row r="155" spans="1:27">
      <c r="A155">
        <v>154</v>
      </c>
      <c r="B155" s="2" t="s">
        <v>305</v>
      </c>
      <c r="C155" s="2" t="s">
        <v>519</v>
      </c>
      <c r="D155" s="18" t="s">
        <v>61</v>
      </c>
      <c r="E155" s="17" t="s">
        <v>63</v>
      </c>
      <c r="F155" s="2" t="s">
        <v>441</v>
      </c>
      <c r="G155" s="2" t="s">
        <v>457</v>
      </c>
      <c r="H155" s="2" t="s">
        <v>442</v>
      </c>
      <c r="I155" s="2">
        <v>21</v>
      </c>
      <c r="J155" s="2" t="s">
        <v>428</v>
      </c>
      <c r="K155" s="2" t="s">
        <v>424</v>
      </c>
      <c r="L155" s="2" t="s">
        <v>480</v>
      </c>
      <c r="M155" s="2">
        <v>8</v>
      </c>
      <c r="N155" s="2" t="s">
        <v>460</v>
      </c>
      <c r="O155" s="3">
        <v>78955555555.555557</v>
      </c>
      <c r="T155"/>
      <c r="U155"/>
      <c r="Y155" s="1" t="e">
        <f t="shared" si="4"/>
        <v>#DIV/0!</v>
      </c>
    </row>
    <row r="156" spans="1:27">
      <c r="A156">
        <v>155</v>
      </c>
      <c r="B156" s="2" t="s">
        <v>300</v>
      </c>
      <c r="C156" s="2" t="s">
        <v>520</v>
      </c>
      <c r="D156" s="18" t="s">
        <v>61</v>
      </c>
      <c r="E156" s="17" t="s">
        <v>63</v>
      </c>
      <c r="F156" s="2" t="s">
        <v>441</v>
      </c>
      <c r="G156" s="2" t="s">
        <v>463</v>
      </c>
      <c r="H156" s="2" t="s">
        <v>442</v>
      </c>
      <c r="I156" s="2">
        <v>21</v>
      </c>
      <c r="J156" s="2" t="s">
        <v>428</v>
      </c>
      <c r="K156" s="2" t="s">
        <v>424</v>
      </c>
      <c r="L156" s="2" t="s">
        <v>434</v>
      </c>
      <c r="O156" s="3">
        <v>11058000000</v>
      </c>
      <c r="P156" s="3">
        <v>1147600000</v>
      </c>
      <c r="T156">
        <v>-7.0277574716339844E-2</v>
      </c>
      <c r="U156">
        <v>1</v>
      </c>
      <c r="Y156" s="1">
        <f t="shared" si="4"/>
        <v>-3.6619563367121652</v>
      </c>
      <c r="AA156" s="13">
        <v>0.17799999999999999</v>
      </c>
    </row>
    <row r="157" spans="1:27">
      <c r="A157">
        <v>156</v>
      </c>
      <c r="B157" s="2" t="s">
        <v>300</v>
      </c>
      <c r="C157" s="2" t="s">
        <v>521</v>
      </c>
      <c r="D157" s="18" t="s">
        <v>61</v>
      </c>
      <c r="E157" s="17" t="s">
        <v>63</v>
      </c>
      <c r="F157" s="2" t="s">
        <v>441</v>
      </c>
      <c r="G157" s="2" t="s">
        <v>463</v>
      </c>
      <c r="H157" s="2" t="s">
        <v>442</v>
      </c>
      <c r="I157" s="2">
        <v>21</v>
      </c>
      <c r="J157" s="2" t="s">
        <v>428</v>
      </c>
      <c r="K157" s="2" t="s">
        <v>424</v>
      </c>
      <c r="L157" s="2" t="s">
        <v>480</v>
      </c>
      <c r="O157" s="3">
        <v>12578000000</v>
      </c>
      <c r="P157" s="3">
        <v>1869600000</v>
      </c>
      <c r="T157">
        <v>-5.9133063643454074E-2</v>
      </c>
      <c r="U157">
        <v>0.99999999999999578</v>
      </c>
      <c r="Y157" s="1">
        <f t="shared" si="4"/>
        <v>-3.4061892427207083</v>
      </c>
      <c r="AA157" s="13">
        <v>0.17199999999999999</v>
      </c>
    </row>
    <row r="158" spans="1:27">
      <c r="A158">
        <v>157</v>
      </c>
      <c r="B158" s="2" t="s">
        <v>300</v>
      </c>
      <c r="C158" s="2" t="s">
        <v>522</v>
      </c>
      <c r="D158" s="18" t="s">
        <v>61</v>
      </c>
      <c r="E158" s="17" t="s">
        <v>63</v>
      </c>
      <c r="F158" s="2" t="s">
        <v>441</v>
      </c>
      <c r="G158" s="2" t="s">
        <v>463</v>
      </c>
      <c r="H158" s="2" t="s">
        <v>442</v>
      </c>
      <c r="I158" s="2">
        <v>21</v>
      </c>
      <c r="J158" s="2" t="s">
        <v>428</v>
      </c>
      <c r="K158" s="2" t="s">
        <v>424</v>
      </c>
      <c r="L158" s="2" t="s">
        <v>482</v>
      </c>
      <c r="O158" s="3">
        <v>12578000000</v>
      </c>
      <c r="P158" s="3">
        <v>277400000</v>
      </c>
      <c r="T158">
        <v>-0.11832179526109003</v>
      </c>
      <c r="U158">
        <v>0.99999999999999778</v>
      </c>
      <c r="Y158" s="1">
        <f t="shared" si="4"/>
        <v>-1.702293350324853</v>
      </c>
      <c r="AA158" s="13">
        <v>0.13500000000000001</v>
      </c>
    </row>
    <row r="159" spans="1:27">
      <c r="A159">
        <v>158</v>
      </c>
      <c r="B159" s="2" t="s">
        <v>305</v>
      </c>
      <c r="C159" s="2" t="s">
        <v>523</v>
      </c>
      <c r="D159" s="18" t="s">
        <v>61</v>
      </c>
      <c r="E159" s="17" t="s">
        <v>63</v>
      </c>
      <c r="F159" s="2" t="s">
        <v>441</v>
      </c>
      <c r="G159" s="2" t="s">
        <v>457</v>
      </c>
      <c r="H159" s="2" t="s">
        <v>442</v>
      </c>
      <c r="I159" s="2">
        <v>21</v>
      </c>
      <c r="J159" s="2" t="s">
        <v>428</v>
      </c>
      <c r="K159" s="2" t="s">
        <v>424</v>
      </c>
      <c r="L159" s="2" t="s">
        <v>434</v>
      </c>
      <c r="O159" s="3">
        <v>19532000000</v>
      </c>
      <c r="P159" s="3">
        <v>2698000000</v>
      </c>
      <c r="T159">
        <v>-6.1407483591157122E-2</v>
      </c>
      <c r="U159">
        <v>0.99999999999999578</v>
      </c>
      <c r="Y159" s="1">
        <f t="shared" si="4"/>
        <v>-0.16745972071352785</v>
      </c>
      <c r="AA159" s="13">
        <v>0.16700000000000001</v>
      </c>
    </row>
    <row r="160" spans="1:27">
      <c r="A160">
        <v>159</v>
      </c>
      <c r="B160" s="2" t="s">
        <v>305</v>
      </c>
      <c r="C160" s="2" t="s">
        <v>524</v>
      </c>
      <c r="D160" s="18" t="s">
        <v>61</v>
      </c>
      <c r="E160" s="17" t="s">
        <v>63</v>
      </c>
      <c r="F160" s="2" t="s">
        <v>441</v>
      </c>
      <c r="G160" s="2" t="s">
        <v>457</v>
      </c>
      <c r="H160" s="2" t="s">
        <v>442</v>
      </c>
      <c r="I160" s="2">
        <v>21</v>
      </c>
      <c r="J160" s="2" t="s">
        <v>428</v>
      </c>
      <c r="K160" s="2" t="s">
        <v>424</v>
      </c>
      <c r="L160" s="2" t="s">
        <v>480</v>
      </c>
      <c r="O160" s="3">
        <v>19608000000</v>
      </c>
      <c r="P160" s="3">
        <v>3458000000</v>
      </c>
      <c r="T160">
        <v>-5.3829164950436992E-2</v>
      </c>
      <c r="U160">
        <v>1</v>
      </c>
      <c r="Y160" s="1">
        <f t="shared" si="4"/>
        <v>-0.15970333977638926</v>
      </c>
      <c r="AA160" s="13">
        <v>0.16</v>
      </c>
    </row>
    <row r="161" spans="1:32">
      <c r="A161">
        <v>160</v>
      </c>
      <c r="B161" s="2" t="s">
        <v>305</v>
      </c>
      <c r="C161" s="2" t="s">
        <v>525</v>
      </c>
      <c r="D161" s="18" t="s">
        <v>61</v>
      </c>
      <c r="E161" s="17" t="s">
        <v>63</v>
      </c>
      <c r="F161" s="2" t="s">
        <v>441</v>
      </c>
      <c r="G161" s="2" t="s">
        <v>457</v>
      </c>
      <c r="H161" s="2" t="s">
        <v>442</v>
      </c>
      <c r="I161" s="2">
        <v>21</v>
      </c>
      <c r="J161" s="2" t="s">
        <v>428</v>
      </c>
      <c r="K161" s="2" t="s">
        <v>424</v>
      </c>
      <c r="L161" s="2" t="s">
        <v>482</v>
      </c>
      <c r="O161" s="3">
        <v>19608000000</v>
      </c>
      <c r="P161" s="3">
        <v>4218000000</v>
      </c>
      <c r="T161">
        <v>-4.7666194488610925E-2</v>
      </c>
      <c r="U161">
        <v>0.99999999999999467</v>
      </c>
      <c r="Y161" s="1">
        <f t="shared" si="4"/>
        <v>-0.18035208206128112</v>
      </c>
      <c r="AA161" s="13">
        <v>0.14299999999999999</v>
      </c>
    </row>
    <row r="162" spans="1:32">
      <c r="A162">
        <v>161</v>
      </c>
      <c r="B162" s="2" t="s">
        <v>309</v>
      </c>
      <c r="C162" s="2" t="s">
        <v>526</v>
      </c>
      <c r="D162" s="18" t="s">
        <v>61</v>
      </c>
      <c r="E162" s="17" t="s">
        <v>63</v>
      </c>
      <c r="F162" s="2" t="s">
        <v>441</v>
      </c>
      <c r="G162" s="2" t="s">
        <v>527</v>
      </c>
      <c r="H162" s="2" t="s">
        <v>442</v>
      </c>
      <c r="I162" s="2">
        <v>21</v>
      </c>
      <c r="J162" s="2" t="s">
        <v>428</v>
      </c>
      <c r="K162" s="2" t="s">
        <v>424</v>
      </c>
      <c r="L162" s="2" t="s">
        <v>434</v>
      </c>
      <c r="O162" s="3">
        <v>2432000000</v>
      </c>
      <c r="P162" s="3">
        <v>266000000</v>
      </c>
      <c r="T162">
        <v>-6.8648709569259309E-2</v>
      </c>
      <c r="U162">
        <v>1</v>
      </c>
      <c r="Y162" s="1">
        <f t="shared" ref="Y162:Y175" si="5">(LOG(20000000000)-LOG(O162))/T162</f>
        <v>-13.329695937548223</v>
      </c>
      <c r="AA162" s="13">
        <v>0.16800000000000001</v>
      </c>
    </row>
    <row r="163" spans="1:32">
      <c r="A163">
        <v>162</v>
      </c>
      <c r="B163" s="2" t="s">
        <v>309</v>
      </c>
      <c r="C163" s="2" t="s">
        <v>528</v>
      </c>
      <c r="D163" s="18" t="s">
        <v>61</v>
      </c>
      <c r="E163" s="17" t="s">
        <v>63</v>
      </c>
      <c r="F163" s="2" t="s">
        <v>441</v>
      </c>
      <c r="G163" s="2" t="s">
        <v>527</v>
      </c>
      <c r="H163" s="2" t="s">
        <v>442</v>
      </c>
      <c r="I163" s="2">
        <v>21</v>
      </c>
      <c r="J163" s="2" t="s">
        <v>428</v>
      </c>
      <c r="K163" s="2" t="s">
        <v>424</v>
      </c>
      <c r="L163" s="2" t="s">
        <v>480</v>
      </c>
      <c r="O163" s="3">
        <v>1748000000</v>
      </c>
      <c r="P163" s="3">
        <v>296400000</v>
      </c>
      <c r="T163">
        <v>-5.5047373499363825E-2</v>
      </c>
      <c r="U163">
        <v>1</v>
      </c>
      <c r="Y163" s="1">
        <f t="shared" si="5"/>
        <v>-19.228684314571879</v>
      </c>
      <c r="AA163" s="13">
        <v>0.14099999999999999</v>
      </c>
    </row>
    <row r="164" spans="1:32">
      <c r="A164">
        <v>163</v>
      </c>
      <c r="B164" s="2" t="s">
        <v>309</v>
      </c>
      <c r="C164" s="2" t="s">
        <v>529</v>
      </c>
      <c r="D164" s="18" t="s">
        <v>61</v>
      </c>
      <c r="E164" s="17" t="s">
        <v>63</v>
      </c>
      <c r="F164" s="2" t="s">
        <v>441</v>
      </c>
      <c r="G164" s="2" t="s">
        <v>527</v>
      </c>
      <c r="H164" s="2" t="s">
        <v>442</v>
      </c>
      <c r="I164" s="2">
        <v>21</v>
      </c>
      <c r="J164" s="2" t="s">
        <v>428</v>
      </c>
      <c r="K164" s="2" t="s">
        <v>424</v>
      </c>
      <c r="L164" s="2" t="s">
        <v>482</v>
      </c>
      <c r="O164" s="3">
        <v>1748000000</v>
      </c>
      <c r="P164" s="3">
        <v>376200000</v>
      </c>
      <c r="T164">
        <v>-4.7651616934573121E-2</v>
      </c>
      <c r="U164">
        <v>1.0000000000000002</v>
      </c>
      <c r="Y164" s="1">
        <f t="shared" si="5"/>
        <v>-22.213067162420291</v>
      </c>
      <c r="AA164" s="13">
        <v>0.121</v>
      </c>
    </row>
    <row r="165" spans="1:32">
      <c r="A165">
        <v>164</v>
      </c>
      <c r="B165" s="2" t="s">
        <v>309</v>
      </c>
      <c r="C165" s="2" t="s">
        <v>530</v>
      </c>
      <c r="D165" s="18" t="s">
        <v>61</v>
      </c>
      <c r="E165" s="17" t="s">
        <v>63</v>
      </c>
      <c r="F165" s="2" t="s">
        <v>441</v>
      </c>
      <c r="G165" s="2" t="s">
        <v>527</v>
      </c>
      <c r="H165" s="2" t="s">
        <v>442</v>
      </c>
      <c r="I165" s="2">
        <v>21</v>
      </c>
      <c r="J165" s="2" t="s">
        <v>428</v>
      </c>
      <c r="K165" s="2" t="s">
        <v>424</v>
      </c>
      <c r="L165" s="2" t="s">
        <v>531</v>
      </c>
      <c r="O165" s="3">
        <v>151155555555.55554</v>
      </c>
      <c r="P165" s="3">
        <v>37239999999.999992</v>
      </c>
      <c r="T165"/>
      <c r="U165"/>
      <c r="Y165" s="1" t="e">
        <f t="shared" si="5"/>
        <v>#DIV/0!</v>
      </c>
      <c r="AA165" s="13">
        <v>0.25700000000000001</v>
      </c>
    </row>
    <row r="166" spans="1:32">
      <c r="A166">
        <v>165</v>
      </c>
      <c r="B166" s="2" t="s">
        <v>309</v>
      </c>
      <c r="C166" s="2" t="s">
        <v>532</v>
      </c>
      <c r="D166" s="18" t="s">
        <v>61</v>
      </c>
      <c r="E166" s="17" t="s">
        <v>63</v>
      </c>
      <c r="F166" s="2" t="s">
        <v>441</v>
      </c>
      <c r="G166" s="2" t="s">
        <v>527</v>
      </c>
      <c r="H166" s="2" t="s">
        <v>442</v>
      </c>
      <c r="I166" s="2">
        <v>21</v>
      </c>
      <c r="J166" s="2" t="s">
        <v>428</v>
      </c>
      <c r="K166" s="2" t="s">
        <v>424</v>
      </c>
      <c r="L166" s="2" t="s">
        <v>480</v>
      </c>
      <c r="O166" s="3">
        <v>174800000000</v>
      </c>
      <c r="P166" s="3">
        <v>26853333333.333328</v>
      </c>
      <c r="T166"/>
      <c r="U166"/>
      <c r="Y166" s="1" t="e">
        <f t="shared" si="5"/>
        <v>#DIV/0!</v>
      </c>
      <c r="AA166" s="13">
        <v>0.35099999999999998</v>
      </c>
    </row>
    <row r="167" spans="1:32">
      <c r="A167">
        <v>166</v>
      </c>
      <c r="B167" s="2" t="s">
        <v>309</v>
      </c>
      <c r="C167" s="2" t="s">
        <v>533</v>
      </c>
      <c r="D167" s="18" t="s">
        <v>61</v>
      </c>
      <c r="E167" s="17" t="s">
        <v>63</v>
      </c>
      <c r="F167" s="2" t="s">
        <v>441</v>
      </c>
      <c r="G167" s="2" t="s">
        <v>527</v>
      </c>
      <c r="H167" s="2" t="s">
        <v>442</v>
      </c>
      <c r="I167" s="2">
        <v>21</v>
      </c>
      <c r="J167" s="2" t="s">
        <v>428</v>
      </c>
      <c r="K167" s="2" t="s">
        <v>424</v>
      </c>
      <c r="L167" s="2" t="s">
        <v>434</v>
      </c>
      <c r="O167" s="3">
        <v>138911111111.11111</v>
      </c>
      <c r="P167" s="3">
        <v>17986666666.666664</v>
      </c>
      <c r="T167"/>
      <c r="U167"/>
      <c r="Y167" s="1" t="e">
        <f t="shared" si="5"/>
        <v>#DIV/0!</v>
      </c>
      <c r="AA167" s="13">
        <v>0.36899999999999999</v>
      </c>
    </row>
    <row r="168" spans="1:32">
      <c r="A168">
        <v>167</v>
      </c>
      <c r="B168" s="2" t="s">
        <v>300</v>
      </c>
      <c r="C168" s="2" t="s">
        <v>534</v>
      </c>
      <c r="D168" s="18" t="s">
        <v>61</v>
      </c>
      <c r="E168" s="17" t="s">
        <v>63</v>
      </c>
      <c r="F168" s="2" t="s">
        <v>441</v>
      </c>
      <c r="G168" s="2" t="s">
        <v>463</v>
      </c>
      <c r="H168" s="2" t="s">
        <v>442</v>
      </c>
      <c r="I168" s="2">
        <v>21</v>
      </c>
      <c r="J168" s="2" t="s">
        <v>428</v>
      </c>
      <c r="K168" s="2" t="s">
        <v>424</v>
      </c>
      <c r="L168" s="2" t="s">
        <v>531</v>
      </c>
      <c r="O168" s="3">
        <v>129200000000</v>
      </c>
      <c r="P168" s="3">
        <v>12159999999.999998</v>
      </c>
      <c r="T168"/>
      <c r="U168"/>
      <c r="Y168" s="1" t="e">
        <f t="shared" si="5"/>
        <v>#DIV/0!</v>
      </c>
      <c r="AA168" s="13">
        <v>0.26500000000000001</v>
      </c>
    </row>
    <row r="169" spans="1:32">
      <c r="A169">
        <v>168</v>
      </c>
      <c r="B169" s="2" t="s">
        <v>300</v>
      </c>
      <c r="C169" s="2" t="s">
        <v>535</v>
      </c>
      <c r="D169" s="18" t="s">
        <v>61</v>
      </c>
      <c r="E169" s="17" t="s">
        <v>63</v>
      </c>
      <c r="F169" s="2" t="s">
        <v>441</v>
      </c>
      <c r="G169" s="2" t="s">
        <v>463</v>
      </c>
      <c r="H169" s="2" t="s">
        <v>442</v>
      </c>
      <c r="I169" s="2">
        <v>21</v>
      </c>
      <c r="J169" s="2" t="s">
        <v>428</v>
      </c>
      <c r="K169" s="2" t="s">
        <v>424</v>
      </c>
      <c r="L169" s="2" t="s">
        <v>480</v>
      </c>
      <c r="O169" s="3">
        <v>126666666666.66667</v>
      </c>
      <c r="P169" s="3">
        <v>9879999999.9999981</v>
      </c>
      <c r="T169"/>
      <c r="U169"/>
      <c r="Y169" s="1" t="e">
        <f t="shared" si="5"/>
        <v>#DIV/0!</v>
      </c>
      <c r="AA169" s="13">
        <v>0.312</v>
      </c>
    </row>
    <row r="170" spans="1:32">
      <c r="A170">
        <v>169</v>
      </c>
      <c r="B170" s="2" t="s">
        <v>300</v>
      </c>
      <c r="C170" s="2" t="s">
        <v>330</v>
      </c>
      <c r="D170" s="18" t="s">
        <v>61</v>
      </c>
      <c r="E170" s="17" t="s">
        <v>63</v>
      </c>
      <c r="F170" s="2" t="s">
        <v>441</v>
      </c>
      <c r="G170" s="2" t="s">
        <v>463</v>
      </c>
      <c r="H170" s="2" t="s">
        <v>442</v>
      </c>
      <c r="I170" s="2">
        <v>21</v>
      </c>
      <c r="J170" s="2" t="s">
        <v>428</v>
      </c>
      <c r="K170" s="2" t="s">
        <v>424</v>
      </c>
      <c r="L170" s="2" t="s">
        <v>434</v>
      </c>
      <c r="O170" s="3">
        <v>107244444444.44446</v>
      </c>
      <c r="P170" s="3">
        <v>5826666666.666666</v>
      </c>
      <c r="T170"/>
      <c r="U170"/>
      <c r="Y170" s="1" t="e">
        <f t="shared" si="5"/>
        <v>#DIV/0!</v>
      </c>
      <c r="AA170" s="13">
        <v>0.32900000000000001</v>
      </c>
    </row>
    <row r="171" spans="1:32">
      <c r="A171">
        <v>170</v>
      </c>
      <c r="B171" s="2" t="s">
        <v>305</v>
      </c>
      <c r="C171" s="2" t="s">
        <v>536</v>
      </c>
      <c r="D171" s="18" t="s">
        <v>61</v>
      </c>
      <c r="E171" s="17" t="s">
        <v>63</v>
      </c>
      <c r="F171" s="2" t="s">
        <v>441</v>
      </c>
      <c r="G171" s="2" t="s">
        <v>457</v>
      </c>
      <c r="H171" s="2" t="s">
        <v>442</v>
      </c>
      <c r="I171" s="2">
        <v>21</v>
      </c>
      <c r="J171" s="2" t="s">
        <v>428</v>
      </c>
      <c r="K171" s="2" t="s">
        <v>424</v>
      </c>
      <c r="L171" s="2" t="s">
        <v>531</v>
      </c>
      <c r="O171" s="3">
        <v>149888888888.88892</v>
      </c>
      <c r="P171" s="3">
        <v>35973333333.333328</v>
      </c>
      <c r="T171"/>
      <c r="U171"/>
      <c r="Y171" s="1" t="e">
        <f t="shared" si="5"/>
        <v>#DIV/0!</v>
      </c>
      <c r="AA171" s="13">
        <v>0.24199999999999999</v>
      </c>
    </row>
    <row r="172" spans="1:32">
      <c r="A172">
        <v>171</v>
      </c>
      <c r="B172" s="2" t="s">
        <v>305</v>
      </c>
      <c r="C172" s="2" t="s">
        <v>537</v>
      </c>
      <c r="D172" s="18" t="s">
        <v>61</v>
      </c>
      <c r="E172" s="17" t="s">
        <v>63</v>
      </c>
      <c r="F172" s="2" t="s">
        <v>441</v>
      </c>
      <c r="G172" s="2" t="s">
        <v>457</v>
      </c>
      <c r="H172" s="2" t="s">
        <v>442</v>
      </c>
      <c r="I172" s="2">
        <v>21</v>
      </c>
      <c r="J172" s="2" t="s">
        <v>428</v>
      </c>
      <c r="K172" s="2" t="s">
        <v>424</v>
      </c>
      <c r="L172" s="2" t="s">
        <v>480</v>
      </c>
      <c r="O172" s="3">
        <v>141444444444.44446</v>
      </c>
      <c r="P172" s="3">
        <v>26599999999.999996</v>
      </c>
      <c r="T172"/>
      <c r="U172"/>
      <c r="Y172" s="1" t="e">
        <f t="shared" si="5"/>
        <v>#DIV/0!</v>
      </c>
      <c r="AA172" s="13">
        <v>0.309</v>
      </c>
    </row>
    <row r="173" spans="1:32">
      <c r="A173">
        <v>172</v>
      </c>
      <c r="B173" s="2" t="s">
        <v>305</v>
      </c>
      <c r="C173" s="2" t="s">
        <v>331</v>
      </c>
      <c r="D173" s="18" t="s">
        <v>61</v>
      </c>
      <c r="E173" s="17" t="s">
        <v>63</v>
      </c>
      <c r="F173" s="2" t="s">
        <v>441</v>
      </c>
      <c r="G173" s="2" t="s">
        <v>457</v>
      </c>
      <c r="H173" s="2" t="s">
        <v>442</v>
      </c>
      <c r="I173" s="2">
        <v>21</v>
      </c>
      <c r="J173" s="2" t="s">
        <v>428</v>
      </c>
      <c r="K173" s="2" t="s">
        <v>424</v>
      </c>
      <c r="L173" s="2" t="s">
        <v>434</v>
      </c>
      <c r="O173" s="3">
        <v>157488888888.88889</v>
      </c>
      <c r="P173" s="3">
        <v>22039999999.999996</v>
      </c>
      <c r="T173"/>
      <c r="U173"/>
      <c r="Y173" s="1" t="e">
        <f t="shared" si="5"/>
        <v>#DIV/0!</v>
      </c>
      <c r="AA173" s="13">
        <v>0.33200000000000002</v>
      </c>
    </row>
    <row r="174" spans="1:32" s="34" customFormat="1">
      <c r="A174">
        <v>173</v>
      </c>
      <c r="B174" s="7" t="s">
        <v>215</v>
      </c>
      <c r="C174" s="7" t="s">
        <v>216</v>
      </c>
      <c r="D174" s="18" t="s">
        <v>61</v>
      </c>
      <c r="E174" s="7" t="s">
        <v>63</v>
      </c>
      <c r="F174" s="2" t="s">
        <v>441</v>
      </c>
      <c r="G174" s="7" t="s">
        <v>538</v>
      </c>
      <c r="H174" s="2" t="s">
        <v>442</v>
      </c>
      <c r="I174" s="2">
        <v>21</v>
      </c>
      <c r="J174" s="2" t="s">
        <v>428</v>
      </c>
      <c r="K174" s="2" t="s">
        <v>424</v>
      </c>
      <c r="L174" s="2" t="s">
        <v>434</v>
      </c>
      <c r="M174" s="17" t="s">
        <v>64</v>
      </c>
      <c r="N174" s="17" t="s">
        <v>65</v>
      </c>
      <c r="O174" s="23">
        <v>35466666666.666672</v>
      </c>
      <c r="P174" s="86"/>
      <c r="Q174" s="86">
        <v>7650666666.666667</v>
      </c>
      <c r="R174" s="99"/>
      <c r="S174" s="7"/>
      <c r="T174">
        <v>-2.3790039025753114E-2</v>
      </c>
      <c r="U174">
        <v>0.99999999999999467</v>
      </c>
      <c r="V174"/>
      <c r="W174"/>
      <c r="X174"/>
      <c r="Y174" s="1">
        <f t="shared" si="5"/>
        <v>10.457754075395419</v>
      </c>
      <c r="Z174" s="7"/>
      <c r="AA174" s="99"/>
      <c r="AB174" s="96"/>
      <c r="AC174" s="88"/>
      <c r="AD174" s="7"/>
      <c r="AE174" s="7"/>
      <c r="AF174" s="7"/>
    </row>
    <row r="175" spans="1:32" s="34" customFormat="1">
      <c r="A175">
        <v>174</v>
      </c>
      <c r="B175" s="7" t="s">
        <v>223</v>
      </c>
      <c r="C175" s="7" t="s">
        <v>224</v>
      </c>
      <c r="D175" s="18" t="s">
        <v>61</v>
      </c>
      <c r="E175" s="7" t="s">
        <v>63</v>
      </c>
      <c r="F175" s="2" t="s">
        <v>441</v>
      </c>
      <c r="G175" s="17" t="s">
        <v>453</v>
      </c>
      <c r="H175" s="2" t="s">
        <v>442</v>
      </c>
      <c r="I175" s="2">
        <v>21</v>
      </c>
      <c r="J175" s="2" t="s">
        <v>428</v>
      </c>
      <c r="K175" s="2" t="s">
        <v>424</v>
      </c>
      <c r="L175" s="2" t="s">
        <v>434</v>
      </c>
      <c r="M175" s="17" t="s">
        <v>64</v>
      </c>
      <c r="N175" s="17" t="s">
        <v>65</v>
      </c>
      <c r="O175" s="23">
        <v>68400000000</v>
      </c>
      <c r="P175" s="86"/>
      <c r="Q175" s="86">
        <v>2153333333.3333335</v>
      </c>
      <c r="R175" s="99"/>
      <c r="S175" s="7"/>
      <c r="T175">
        <v>-5.3640887087310456E-2</v>
      </c>
      <c r="U175">
        <v>0.99999999999999767</v>
      </c>
      <c r="V175"/>
      <c r="W175"/>
      <c r="X175"/>
      <c r="Y175" s="1">
        <f t="shared" si="5"/>
        <v>9.955579317450681</v>
      </c>
      <c r="Z175" s="7"/>
      <c r="AA175" s="99"/>
      <c r="AB175" s="96"/>
      <c r="AC175" s="88"/>
      <c r="AD175" s="7"/>
      <c r="AE175" s="7"/>
      <c r="AF175" s="7"/>
    </row>
    <row r="176" spans="1:32">
      <c r="A176">
        <v>175</v>
      </c>
      <c r="B176" s="2" t="s">
        <v>300</v>
      </c>
      <c r="C176" s="2" t="s">
        <v>509</v>
      </c>
      <c r="D176" s="18" t="s">
        <v>61</v>
      </c>
      <c r="E176" s="7" t="s">
        <v>63</v>
      </c>
      <c r="F176" s="2" t="s">
        <v>441</v>
      </c>
      <c r="G176" s="2" t="s">
        <v>463</v>
      </c>
      <c r="H176" s="2" t="s">
        <v>442</v>
      </c>
      <c r="I176" s="2">
        <v>21</v>
      </c>
      <c r="J176" s="2" t="s">
        <v>428</v>
      </c>
      <c r="K176" s="2" t="s">
        <v>424</v>
      </c>
      <c r="L176" s="2" t="s">
        <v>434</v>
      </c>
      <c r="O176" s="3">
        <v>87400000000</v>
      </c>
    </row>
    <row r="177" spans="1:15">
      <c r="A177">
        <v>176</v>
      </c>
      <c r="B177" s="2" t="s">
        <v>300</v>
      </c>
      <c r="C177" s="2" t="s">
        <v>510</v>
      </c>
      <c r="D177" s="18" t="s">
        <v>61</v>
      </c>
      <c r="E177" s="7" t="s">
        <v>63</v>
      </c>
      <c r="F177" s="2" t="s">
        <v>441</v>
      </c>
      <c r="G177" s="2" t="s">
        <v>463</v>
      </c>
      <c r="H177" s="2" t="s">
        <v>442</v>
      </c>
      <c r="I177" s="2">
        <v>21</v>
      </c>
      <c r="J177" s="2" t="s">
        <v>428</v>
      </c>
      <c r="K177" s="2" t="s">
        <v>424</v>
      </c>
      <c r="L177" s="2" t="s">
        <v>539</v>
      </c>
      <c r="O177" s="3">
        <v>100911111111.11113</v>
      </c>
    </row>
    <row r="178" spans="1:15">
      <c r="A178">
        <v>177</v>
      </c>
      <c r="B178" s="2" t="s">
        <v>300</v>
      </c>
      <c r="C178" s="2" t="s">
        <v>512</v>
      </c>
      <c r="D178" s="18" t="s">
        <v>61</v>
      </c>
      <c r="E178" s="7" t="s">
        <v>63</v>
      </c>
      <c r="F178" s="2" t="s">
        <v>441</v>
      </c>
      <c r="G178" s="2" t="s">
        <v>463</v>
      </c>
      <c r="H178" s="2" t="s">
        <v>442</v>
      </c>
      <c r="I178" s="2">
        <v>21</v>
      </c>
      <c r="J178" s="2" t="s">
        <v>428</v>
      </c>
      <c r="K178" s="2" t="s">
        <v>424</v>
      </c>
      <c r="L178" s="2" t="s">
        <v>480</v>
      </c>
      <c r="O178" s="3">
        <v>84444444444.444458</v>
      </c>
    </row>
    <row r="179" spans="1:15">
      <c r="A179">
        <v>178</v>
      </c>
      <c r="B179" s="2" t="s">
        <v>305</v>
      </c>
      <c r="C179" s="2" t="s">
        <v>337</v>
      </c>
      <c r="D179" s="18" t="s">
        <v>61</v>
      </c>
      <c r="E179" s="7" t="s">
        <v>63</v>
      </c>
      <c r="F179" s="2" t="s">
        <v>441</v>
      </c>
      <c r="G179" s="2" t="s">
        <v>457</v>
      </c>
      <c r="H179" s="2" t="s">
        <v>442</v>
      </c>
      <c r="I179" s="2">
        <v>21</v>
      </c>
      <c r="J179" s="2" t="s">
        <v>428</v>
      </c>
      <c r="K179" s="2" t="s">
        <v>424</v>
      </c>
      <c r="L179" s="2" t="s">
        <v>434</v>
      </c>
      <c r="O179" s="3">
        <v>108933333333.33334</v>
      </c>
    </row>
    <row r="180" spans="1:15">
      <c r="A180">
        <v>179</v>
      </c>
      <c r="B180" s="2" t="s">
        <v>305</v>
      </c>
      <c r="C180" s="2" t="s">
        <v>513</v>
      </c>
      <c r="D180" s="18" t="s">
        <v>61</v>
      </c>
      <c r="E180" s="7" t="s">
        <v>63</v>
      </c>
      <c r="F180" s="2" t="s">
        <v>441</v>
      </c>
      <c r="G180" s="2" t="s">
        <v>457</v>
      </c>
      <c r="H180" s="2" t="s">
        <v>442</v>
      </c>
      <c r="I180" s="2">
        <v>21</v>
      </c>
      <c r="J180" s="2" t="s">
        <v>428</v>
      </c>
      <c r="K180" s="2" t="s">
        <v>424</v>
      </c>
      <c r="L180" s="2" t="s">
        <v>539</v>
      </c>
      <c r="O180" s="3">
        <v>142711111111.11111</v>
      </c>
    </row>
    <row r="181" spans="1:15">
      <c r="A181">
        <v>180</v>
      </c>
      <c r="B181" s="2" t="s">
        <v>305</v>
      </c>
      <c r="C181" s="2" t="s">
        <v>514</v>
      </c>
      <c r="D181" s="18" t="s">
        <v>61</v>
      </c>
      <c r="E181" s="7" t="s">
        <v>63</v>
      </c>
      <c r="F181" s="2" t="s">
        <v>441</v>
      </c>
      <c r="G181" s="2" t="s">
        <v>457</v>
      </c>
      <c r="H181" s="2" t="s">
        <v>442</v>
      </c>
      <c r="I181" s="2">
        <v>21</v>
      </c>
      <c r="J181" s="2" t="s">
        <v>428</v>
      </c>
      <c r="K181" s="2" t="s">
        <v>424</v>
      </c>
      <c r="L181" s="2" t="s">
        <v>480</v>
      </c>
      <c r="O181" s="3">
        <v>107244444444.44446</v>
      </c>
    </row>
    <row r="182" spans="1:15">
      <c r="A182">
        <v>181</v>
      </c>
      <c r="B182" s="2" t="s">
        <v>300</v>
      </c>
      <c r="C182" s="2" t="s">
        <v>345</v>
      </c>
      <c r="D182" s="18" t="s">
        <v>61</v>
      </c>
      <c r="E182" s="7" t="s">
        <v>63</v>
      </c>
      <c r="F182" s="2" t="s">
        <v>441</v>
      </c>
      <c r="G182" s="2" t="s">
        <v>463</v>
      </c>
      <c r="H182" s="2" t="s">
        <v>442</v>
      </c>
      <c r="I182" s="2">
        <v>21</v>
      </c>
      <c r="J182" s="2" t="s">
        <v>428</v>
      </c>
      <c r="K182" s="2" t="s">
        <v>424</v>
      </c>
      <c r="L182" s="2" t="s">
        <v>434</v>
      </c>
      <c r="O182" s="3">
        <v>73044444444.444458</v>
      </c>
    </row>
    <row r="183" spans="1:15">
      <c r="A183">
        <v>182</v>
      </c>
      <c r="B183" s="2" t="s">
        <v>300</v>
      </c>
      <c r="C183" s="2" t="s">
        <v>515</v>
      </c>
      <c r="D183" s="18" t="s">
        <v>61</v>
      </c>
      <c r="E183" s="7" t="s">
        <v>63</v>
      </c>
      <c r="F183" s="2" t="s">
        <v>441</v>
      </c>
      <c r="G183" s="2" t="s">
        <v>463</v>
      </c>
      <c r="H183" s="2" t="s">
        <v>442</v>
      </c>
      <c r="I183" s="2">
        <v>21</v>
      </c>
      <c r="J183" s="2" t="s">
        <v>428</v>
      </c>
      <c r="K183" s="2" t="s">
        <v>424</v>
      </c>
      <c r="L183" s="2" t="s">
        <v>539</v>
      </c>
      <c r="O183" s="3">
        <v>76000000000</v>
      </c>
    </row>
    <row r="184" spans="1:15">
      <c r="A184">
        <v>183</v>
      </c>
      <c r="B184" s="2" t="s">
        <v>300</v>
      </c>
      <c r="C184" s="2" t="s">
        <v>516</v>
      </c>
      <c r="D184" s="18" t="s">
        <v>61</v>
      </c>
      <c r="E184" s="7" t="s">
        <v>63</v>
      </c>
      <c r="F184" s="2" t="s">
        <v>441</v>
      </c>
      <c r="G184" s="2" t="s">
        <v>463</v>
      </c>
      <c r="H184" s="2" t="s">
        <v>442</v>
      </c>
      <c r="I184" s="2">
        <v>21</v>
      </c>
      <c r="J184" s="2" t="s">
        <v>428</v>
      </c>
      <c r="K184" s="2" t="s">
        <v>424</v>
      </c>
      <c r="L184" s="2" t="s">
        <v>480</v>
      </c>
      <c r="O184" s="3">
        <v>64177777777.777779</v>
      </c>
    </row>
    <row r="185" spans="1:15">
      <c r="A185">
        <v>184</v>
      </c>
      <c r="B185" s="2" t="s">
        <v>305</v>
      </c>
      <c r="C185" s="2" t="s">
        <v>517</v>
      </c>
      <c r="D185" s="18" t="s">
        <v>61</v>
      </c>
      <c r="E185" s="7" t="s">
        <v>63</v>
      </c>
      <c r="F185" s="2" t="s">
        <v>441</v>
      </c>
      <c r="G185" s="2" t="s">
        <v>457</v>
      </c>
      <c r="H185" s="2" t="s">
        <v>442</v>
      </c>
      <c r="I185" s="2">
        <v>21</v>
      </c>
      <c r="J185" s="2" t="s">
        <v>428</v>
      </c>
      <c r="K185" s="2" t="s">
        <v>424</v>
      </c>
      <c r="L185" s="2" t="s">
        <v>434</v>
      </c>
      <c r="O185" s="3">
        <v>73888888888.888901</v>
      </c>
    </row>
    <row r="186" spans="1:15">
      <c r="A186">
        <v>185</v>
      </c>
      <c r="B186" s="2" t="s">
        <v>305</v>
      </c>
      <c r="C186" s="2" t="s">
        <v>518</v>
      </c>
      <c r="D186" s="18" t="s">
        <v>61</v>
      </c>
      <c r="E186" s="7" t="s">
        <v>63</v>
      </c>
      <c r="F186" s="2" t="s">
        <v>441</v>
      </c>
      <c r="G186" s="2" t="s">
        <v>457</v>
      </c>
      <c r="H186" s="2" t="s">
        <v>442</v>
      </c>
      <c r="I186" s="2">
        <v>21</v>
      </c>
      <c r="J186" s="2" t="s">
        <v>428</v>
      </c>
      <c r="K186" s="2" t="s">
        <v>424</v>
      </c>
      <c r="L186" s="2" t="s">
        <v>539</v>
      </c>
      <c r="O186" s="3">
        <v>78111111111.11113</v>
      </c>
    </row>
    <row r="187" spans="1:15">
      <c r="A187">
        <v>186</v>
      </c>
      <c r="B187" s="2" t="s">
        <v>305</v>
      </c>
      <c r="C187" s="2" t="s">
        <v>540</v>
      </c>
      <c r="D187" s="18" t="s">
        <v>61</v>
      </c>
      <c r="E187" s="7" t="s">
        <v>63</v>
      </c>
      <c r="F187" s="2" t="s">
        <v>441</v>
      </c>
      <c r="G187" s="2" t="s">
        <v>457</v>
      </c>
      <c r="H187" s="2" t="s">
        <v>442</v>
      </c>
      <c r="I187" s="2">
        <v>21</v>
      </c>
      <c r="J187" s="2" t="s">
        <v>428</v>
      </c>
      <c r="K187" s="2" t="s">
        <v>424</v>
      </c>
      <c r="L187" s="2" t="s">
        <v>480</v>
      </c>
      <c r="O187" s="3">
        <v>78955555555.555557</v>
      </c>
    </row>
    <row r="188" spans="1:15">
      <c r="H188" s="2" t="s">
        <v>442</v>
      </c>
      <c r="I188" s="2">
        <v>21</v>
      </c>
      <c r="J188" s="2" t="s">
        <v>428</v>
      </c>
      <c r="K188" s="2" t="s">
        <v>424</v>
      </c>
    </row>
  </sheetData>
  <autoFilter ref="A1:AD143" xr:uid="{9F78D284-A80A-48DA-8A63-86B2B484A0A8}"/>
  <sortState xmlns:xlrd2="http://schemas.microsoft.com/office/spreadsheetml/2017/richdata2" ref="A2:AD142">
    <sortCondition ref="C1"/>
  </sortState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522D5-313F-4B74-8F49-5A2B945C9127}">
  <sheetPr codeName="Sheet2"/>
  <dimension ref="A1:CO97"/>
  <sheetViews>
    <sheetView tabSelected="1" topLeftCell="A35" zoomScale="80" zoomScaleNormal="80" workbookViewId="0">
      <selection activeCell="A69" sqref="A69:XFD74"/>
    </sheetView>
  </sheetViews>
  <sheetFormatPr baseColWidth="10" defaultColWidth="9.1640625" defaultRowHeight="15"/>
  <cols>
    <col min="1" max="1" width="9.1640625" style="42"/>
    <col min="2" max="2" width="16.33203125" style="123" customWidth="1"/>
    <col min="3" max="3" width="23" style="42" customWidth="1"/>
    <col min="4" max="4" width="27" style="42" customWidth="1"/>
    <col min="5" max="5" width="20.83203125" style="42" customWidth="1"/>
    <col min="6" max="6" width="20.83203125" style="55" customWidth="1"/>
    <col min="7" max="7" width="12.5" style="55" customWidth="1"/>
    <col min="8" max="8" width="20.83203125" style="55" customWidth="1"/>
    <col min="9" max="9" width="10.1640625" style="55" customWidth="1"/>
    <col min="10" max="10" width="6.83203125" style="42" customWidth="1"/>
    <col min="11" max="11" width="9.6640625" style="42" customWidth="1"/>
    <col min="12" max="12" width="7.5" style="62" customWidth="1"/>
    <col min="13" max="14" width="12.83203125" style="70" bestFit="1" customWidth="1"/>
    <col min="15" max="15" width="25.6640625" style="51" customWidth="1"/>
    <col min="16" max="16" width="25.33203125" style="51" customWidth="1"/>
    <col min="17" max="17" width="19.5" style="50" bestFit="1" customWidth="1"/>
    <col min="18" max="18" width="12" style="43" customWidth="1"/>
    <col min="19" max="19" width="10.5" style="43" customWidth="1"/>
    <col min="20" max="20" width="12" style="43" customWidth="1"/>
    <col min="21" max="21" width="12.5" style="43" customWidth="1"/>
    <col min="22" max="22" width="13.1640625" style="43" customWidth="1"/>
    <col min="23" max="23" width="10" style="43" customWidth="1"/>
    <col min="24" max="24" width="9" style="43" customWidth="1"/>
    <col min="25" max="25" width="10.33203125" style="43" customWidth="1"/>
    <col min="26" max="26" width="13.1640625" style="43" customWidth="1"/>
    <col min="27" max="27" width="9.83203125" style="43" customWidth="1"/>
    <col min="28" max="30" width="9.1640625" style="43" customWidth="1"/>
    <col min="31" max="31" width="8.83203125" style="43" customWidth="1"/>
    <col min="32" max="32" width="9.1640625" style="43" customWidth="1"/>
    <col min="33" max="33" width="8.6640625" style="43" customWidth="1"/>
    <col min="34" max="34" width="9" style="43" customWidth="1"/>
    <col min="35" max="35" width="9.5" style="43" customWidth="1"/>
    <col min="36" max="36" width="11.33203125" style="44" customWidth="1"/>
    <col min="37" max="38" width="11.5" style="44" customWidth="1"/>
    <col min="39" max="39" width="11.83203125" style="44" customWidth="1"/>
    <col min="40" max="44" width="10.6640625" style="44" customWidth="1"/>
    <col min="45" max="55" width="9.1640625" style="42" customWidth="1"/>
    <col min="56" max="56" width="12.83203125" style="42" customWidth="1"/>
    <col min="57" max="65" width="9.1640625" style="42" customWidth="1"/>
    <col min="66" max="66" width="9.6640625" style="42" customWidth="1"/>
    <col min="67" max="94" width="9.1640625" style="42" customWidth="1"/>
    <col min="95" max="16384" width="9.1640625" style="42"/>
  </cols>
  <sheetData>
    <row r="1" spans="1:93" s="39" customFormat="1">
      <c r="A1" s="42">
        <v>5</v>
      </c>
      <c r="B1" s="123" t="s">
        <v>541</v>
      </c>
      <c r="C1" s="46" t="s">
        <v>443</v>
      </c>
      <c r="D1" s="46" t="s">
        <v>444</v>
      </c>
      <c r="E1" s="45" t="s">
        <v>35</v>
      </c>
      <c r="F1" s="52" t="s">
        <v>424</v>
      </c>
      <c r="G1" s="52"/>
      <c r="H1" s="52" t="s">
        <v>542</v>
      </c>
      <c r="I1" s="52" t="s">
        <v>543</v>
      </c>
      <c r="J1" s="46" t="s">
        <v>544</v>
      </c>
      <c r="K1" s="46"/>
      <c r="L1" s="46"/>
      <c r="M1" s="72" t="e" cm="1">
        <f t="array" ref="M1">LOOKUP(2,1/(ISNUMBER(BX1:CE1)),BX1:CE1)</f>
        <v>#N/A</v>
      </c>
      <c r="N1" s="72" t="e" cm="1">
        <f t="array" ref="N1">LOOKUP(2,1/(ISNUMBER(CH1:CO1)),CH1:CO1)</f>
        <v>#N/A</v>
      </c>
      <c r="O1" s="58">
        <v>23466666666.666668</v>
      </c>
      <c r="P1" s="58">
        <v>2837839553.839035</v>
      </c>
      <c r="Q1" s="59">
        <f t="shared" ref="Q1:Q32" si="0">LOG(O1*0.000887)-LOG(R1)</f>
        <v>0.73859142763736596</v>
      </c>
      <c r="R1" s="109">
        <v>3800000</v>
      </c>
      <c r="S1" s="109">
        <v>1666667</v>
      </c>
      <c r="T1" s="109">
        <v>793333.33333333326</v>
      </c>
      <c r="U1" s="113"/>
      <c r="V1" s="109">
        <v>25733.33</v>
      </c>
      <c r="W1" s="120">
        <v>403600</v>
      </c>
      <c r="X1" s="47"/>
      <c r="Y1" s="47"/>
      <c r="Z1" s="47">
        <v>177466.7</v>
      </c>
      <c r="AA1" s="109">
        <v>280000</v>
      </c>
      <c r="AB1" s="109">
        <v>266333.12473917613</v>
      </c>
      <c r="AC1" s="109">
        <v>156068.36109004723</v>
      </c>
      <c r="AD1" s="115"/>
      <c r="AE1" s="109">
        <v>7114.3048383755176</v>
      </c>
      <c r="AF1" s="109">
        <v>31303.247967796164</v>
      </c>
      <c r="AG1" s="115"/>
      <c r="AH1" s="115"/>
      <c r="AI1" s="47"/>
      <c r="AJ1" s="110">
        <v>44901</v>
      </c>
      <c r="AK1" s="110">
        <f>AJ1+7</f>
        <v>44908</v>
      </c>
      <c r="AL1" s="110">
        <f>AK1+7</f>
        <v>44915</v>
      </c>
      <c r="AM1" s="116"/>
      <c r="AN1" s="110">
        <v>44929</v>
      </c>
      <c r="AO1" s="118">
        <v>44936</v>
      </c>
      <c r="AP1" s="117"/>
      <c r="AQ1" s="117"/>
      <c r="AR1" s="118"/>
      <c r="AS1" s="42">
        <f t="shared" ref="AS1:AS24" si="1">IF(R1&gt;0,(LOG(R1)),"")</f>
        <v>6.5797835966168101</v>
      </c>
      <c r="AT1" s="42">
        <f t="shared" ref="AT1:AT24" si="2">IF(S1&gt;0,(LOG(S1)),"")</f>
        <v>6.2218488364752442</v>
      </c>
      <c r="AU1" s="42">
        <f t="shared" ref="AU1:AU24" si="3">IF(T1&gt;0,(LOG(T1)),"")</f>
        <v>5.8994557023368497</v>
      </c>
      <c r="AV1" s="42" t="str">
        <f t="shared" ref="AV1:AV24" si="4">IF(U1&gt;0,(LOG(U1)),"")</f>
        <v/>
      </c>
      <c r="AW1" s="42">
        <f t="shared" ref="AW1:AW24" si="5">IF(V1&gt;0,(LOG(V1)),"")</f>
        <v>4.4104959893603084</v>
      </c>
      <c r="AX1" s="42">
        <f>IF(Z1&gt;0,(LOG(Z1)),"")</f>
        <v>5.2491168736559359</v>
      </c>
      <c r="AY1" s="42" t="str">
        <f t="shared" ref="AY1:AY42" si="6">IF(X1&gt;0,(LOG(X1)),"")</f>
        <v/>
      </c>
      <c r="AZ1" s="42" t="str">
        <f t="shared" ref="AZ1:AZ42" si="7">IF(Y1&gt;0,(LOG(Y1)),"")</f>
        <v/>
      </c>
      <c r="BA1" s="42" t="e">
        <f>IF(#REF!&gt;0,(LOG(#REF!)),"")</f>
        <v>#REF!</v>
      </c>
      <c r="BC1" s="39" t="s">
        <v>545</v>
      </c>
      <c r="BD1" s="39" t="s">
        <v>546</v>
      </c>
      <c r="BE1" s="39" t="s">
        <v>547</v>
      </c>
      <c r="BF1" s="39" t="s">
        <v>548</v>
      </c>
      <c r="BG1" s="39" t="s">
        <v>549</v>
      </c>
      <c r="BH1" s="39" t="s">
        <v>550</v>
      </c>
      <c r="BI1" s="39" t="s">
        <v>551</v>
      </c>
      <c r="BJ1" s="39" t="s">
        <v>552</v>
      </c>
      <c r="BK1" s="39" t="s">
        <v>553</v>
      </c>
      <c r="BM1" s="39" t="s">
        <v>554</v>
      </c>
      <c r="BN1" s="39" t="s">
        <v>555</v>
      </c>
      <c r="BO1" s="39" t="s">
        <v>556</v>
      </c>
      <c r="BP1" s="39" t="s">
        <v>557</v>
      </c>
      <c r="BQ1" s="39" t="s">
        <v>558</v>
      </c>
      <c r="BR1" s="39" t="s">
        <v>559</v>
      </c>
      <c r="BS1" s="39" t="s">
        <v>560</v>
      </c>
      <c r="BT1" s="39" t="s">
        <v>561</v>
      </c>
      <c r="BU1" s="39" t="s">
        <v>562</v>
      </c>
      <c r="BW1" s="39" t="s">
        <v>563</v>
      </c>
      <c r="BX1" s="39" t="s">
        <v>564</v>
      </c>
      <c r="BY1" s="39" t="s">
        <v>565</v>
      </c>
      <c r="BZ1" s="39" t="s">
        <v>566</v>
      </c>
      <c r="CA1" s="39" t="s">
        <v>567</v>
      </c>
      <c r="CB1" s="39" t="s">
        <v>568</v>
      </c>
      <c r="CC1" s="39" t="s">
        <v>569</v>
      </c>
      <c r="CD1" s="39" t="s">
        <v>570</v>
      </c>
      <c r="CE1" s="39" t="s">
        <v>571</v>
      </c>
      <c r="CG1" s="39" t="s">
        <v>572</v>
      </c>
      <c r="CH1" s="39" t="s">
        <v>573</v>
      </c>
      <c r="CI1" s="39" t="s">
        <v>574</v>
      </c>
      <c r="CJ1" s="39" t="s">
        <v>575</v>
      </c>
      <c r="CK1" s="39" t="s">
        <v>576</v>
      </c>
      <c r="CL1" s="39" t="s">
        <v>577</v>
      </c>
      <c r="CM1" s="39" t="s">
        <v>578</v>
      </c>
      <c r="CN1" s="39" t="s">
        <v>579</v>
      </c>
      <c r="CO1" s="39" t="s">
        <v>580</v>
      </c>
    </row>
    <row r="2" spans="1:93">
      <c r="A2" s="42">
        <v>6</v>
      </c>
      <c r="B2" s="123" t="s">
        <v>541</v>
      </c>
      <c r="C2" s="46" t="s">
        <v>449</v>
      </c>
      <c r="D2" s="46" t="s">
        <v>450</v>
      </c>
      <c r="E2" s="45" t="s">
        <v>61</v>
      </c>
      <c r="F2" s="52" t="s">
        <v>63</v>
      </c>
      <c r="G2" s="52"/>
      <c r="H2" s="52" t="s">
        <v>581</v>
      </c>
      <c r="I2" s="52" t="s">
        <v>582</v>
      </c>
      <c r="J2" s="46" t="s">
        <v>544</v>
      </c>
      <c r="K2" s="46"/>
      <c r="L2" s="46"/>
      <c r="M2" s="72" cm="1">
        <f t="array" ref="M2">LOOKUP(2,1/(ISNUMBER(BX2:CE2)),BX2:CE2)</f>
        <v>-6.9560499399473757E-2</v>
      </c>
      <c r="N2" s="72" cm="1">
        <f t="array" ref="N2">LOOKUP(2,1/(ISNUMBER(CH2:CO2)),CH2:CO2)</f>
        <v>24.284777483181092</v>
      </c>
      <c r="O2" s="58">
        <v>6680000000</v>
      </c>
      <c r="P2" s="58">
        <v>484974226.11928564</v>
      </c>
      <c r="Q2" s="59">
        <f t="shared" si="0"/>
        <v>1.2841493658068286</v>
      </c>
      <c r="R2" s="109">
        <v>308000</v>
      </c>
      <c r="S2" s="109">
        <v>183999.99999999997</v>
      </c>
      <c r="T2" s="109">
        <v>105466.66666666664</v>
      </c>
      <c r="U2" s="113"/>
      <c r="V2" s="109">
        <v>3733.3333333333326</v>
      </c>
      <c r="W2" s="120">
        <v>43600</v>
      </c>
      <c r="X2" s="47"/>
      <c r="Y2" s="47"/>
      <c r="Z2" s="47">
        <v>4310</v>
      </c>
      <c r="AA2" s="109">
        <v>55569.775957799211</v>
      </c>
      <c r="AB2" s="109">
        <v>38157.568056677817</v>
      </c>
      <c r="AC2" s="109">
        <v>21167.270332599161</v>
      </c>
      <c r="AD2" s="115"/>
      <c r="AE2" s="109">
        <v>2203.0282189144409</v>
      </c>
      <c r="AF2" s="109">
        <v>4424.1760061432142</v>
      </c>
      <c r="AG2" s="115"/>
      <c r="AH2" s="115"/>
      <c r="AI2" s="47"/>
      <c r="AJ2" s="110">
        <v>44901</v>
      </c>
      <c r="AK2" s="110">
        <f>AJ2+7</f>
        <v>44908</v>
      </c>
      <c r="AL2" s="110">
        <f>AK2+7</f>
        <v>44915</v>
      </c>
      <c r="AM2" s="116"/>
      <c r="AN2" s="110">
        <v>44929</v>
      </c>
      <c r="AO2" s="118">
        <v>44936</v>
      </c>
      <c r="AP2" s="117"/>
      <c r="AQ2" s="117"/>
      <c r="AR2" s="118"/>
      <c r="AS2" s="42">
        <f t="shared" si="1"/>
        <v>5.4885507165004439</v>
      </c>
      <c r="AT2" s="42">
        <f t="shared" si="2"/>
        <v>5.2648178230095368</v>
      </c>
      <c r="AU2" s="42">
        <f t="shared" si="3"/>
        <v>5.0231152201059768</v>
      </c>
      <c r="AV2" s="42" t="str">
        <f t="shared" si="4"/>
        <v/>
      </c>
      <c r="AW2" s="42">
        <f t="shared" si="5"/>
        <v>3.5720967679505189</v>
      </c>
      <c r="AX2" s="42">
        <f t="shared" ref="AX2:AX43" si="8">IF(W2&gt;0,(LOG(W2)),"")</f>
        <v>4.6394864892685863</v>
      </c>
      <c r="AY2" s="42" t="str">
        <f t="shared" si="6"/>
        <v/>
      </c>
      <c r="AZ2" s="42" t="str">
        <f t="shared" si="7"/>
        <v/>
      </c>
      <c r="BA2" s="42">
        <f t="shared" ref="BA2:BA42" si="9">IF(Z2&gt;0,(LOG(Z2)),"")</f>
        <v>3.6344772701607315</v>
      </c>
      <c r="BC2" s="42">
        <f>AJ2-$AJ2</f>
        <v>0</v>
      </c>
      <c r="BD2" s="42">
        <v>7</v>
      </c>
      <c r="BE2" s="42">
        <f>IF(AL2&gt;1,(AL2-$AJ2),"")</f>
        <v>14</v>
      </c>
      <c r="BF2" s="42" t="str">
        <f>IF(AM2&gt;1,(AM2-$AJ2),"")</f>
        <v/>
      </c>
      <c r="BG2" s="42">
        <f>IF(AN2&gt;1,(AN2-$AJ2),"")</f>
        <v>28</v>
      </c>
      <c r="BH2" s="42">
        <f t="shared" ref="BH2:BH65" si="10">IF(AO2&gt;1,(AO2-$AJ2),"")</f>
        <v>35</v>
      </c>
      <c r="BI2" s="42" t="str">
        <f t="shared" ref="BI2:BI33" si="11">IF(AP2&gt;1,(AP2-$AJ2),"")</f>
        <v/>
      </c>
      <c r="BJ2" s="42" t="str">
        <f t="shared" ref="BJ2:BJ33" si="12">IF(AQ2&gt;1,(AQ2-$AJ2),"")</f>
        <v/>
      </c>
      <c r="BK2" s="42" t="str">
        <f t="shared" ref="BK2:BK33" si="13">IF(AR2&gt;1,(AR2-$AJ2),"")</f>
        <v/>
      </c>
      <c r="BN2" s="42">
        <f>INTERCEPT($AS2:AT2,$BC2:BD2)</f>
        <v>5.4885507165004439</v>
      </c>
      <c r="BO2" s="42">
        <f>INTERCEPT($AS2:AU2,$BC2:BE2)</f>
        <v>5.4915456680692198</v>
      </c>
      <c r="BP2" s="42">
        <f>INTERCEPT($AS2:AV2,$BC2:BF2)</f>
        <v>5.4915456680692198</v>
      </c>
      <c r="BQ2" s="42">
        <f>INTERCEPT($AS2:AW2,$BC2:BG2)</f>
        <v>5.6892612495351722</v>
      </c>
      <c r="BR2" s="42">
        <f>INTERCEPT($AS2:AX2,$BC2:BH2)</f>
        <v>5.463821737186219</v>
      </c>
      <c r="BS2" s="42">
        <f>INTERCEPT($AS2:AY2,$BC2:BI2)</f>
        <v>5.463821737186219</v>
      </c>
      <c r="BT2" s="42">
        <f>INTERCEPT($AS2:AZ2,$BC2:BJ2)</f>
        <v>5.463821737186219</v>
      </c>
      <c r="BU2" s="42">
        <f>INTERCEPT($AS2:BA2,$BC2:BK2)</f>
        <v>5.463821737186219</v>
      </c>
      <c r="BX2" s="42">
        <f>IF(S2&gt;1,(SLOPE(AS2:AT2, BC2:BD2)),"")</f>
        <v>-3.1961841927272437E-2</v>
      </c>
      <c r="BY2" s="42">
        <f>IF(T2&gt;1,(SLOPE(AS2:AU2, BC2:BE2)),"")</f>
        <v>-3.3245392599604795E-2</v>
      </c>
      <c r="BZ2" s="42">
        <f>IF(V2&gt;1,(SLOPE(AS2:AV2, BC2:BF2)),"")</f>
        <v>-3.3245392599604795E-2</v>
      </c>
      <c r="CA2" s="42">
        <f>IF(Z2&gt;1,(SLOPE(AS2:AW2, BC2:BG2)),"")</f>
        <v>-6.9560499399473757E-2</v>
      </c>
      <c r="CB2" s="42" t="e">
        <f>IF(#REF!&gt;1,(SLOPE(AS2:AX2, BC2:BH2)),"")</f>
        <v>#REF!</v>
      </c>
      <c r="CC2" s="42" t="str">
        <f>IF(X2&gt;1,(SLOPE(AS2:AY2, BC2:BI2)),"")</f>
        <v/>
      </c>
      <c r="CD2" s="42" t="str">
        <f>IF(X2&gt;1,(SLOPE(AS2:AZ2, BC2:BJ2)),"")</f>
        <v/>
      </c>
      <c r="CE2" s="42" t="str">
        <f>IF(Y2&gt;1,(SLOPE(AS2:BA2, BC2:BK2)),"")</f>
        <v/>
      </c>
      <c r="CH2" s="42">
        <f>IF(S2&gt;0,((4-BN2)/(SLOPE($AS2:AT2, $BC2:BD2))),"")</f>
        <v>46.572745084202786</v>
      </c>
      <c r="CI2" s="42">
        <f>IF(T2&gt;0,((4-BO2)/(SLOPE($AS2:AU2, $BC2:BE2))),"")</f>
        <v>44.864733168678256</v>
      </c>
      <c r="CJ2" s="42">
        <f>IF(V2&gt;0,((4-BP2)/(SLOPE($AS2:AV2, $BC2:BF2))),"")</f>
        <v>44.864733168678256</v>
      </c>
      <c r="CK2" s="42">
        <f>IF(Z2&gt;0,((4-BQ2)/(SLOPE($AS2:AW2, $BC2:BG2))),"")</f>
        <v>24.284777483181092</v>
      </c>
      <c r="CL2" s="42" t="e">
        <f>IF(#REF!&gt;0,((4-BR2)/(SLOPE($AS2:AX2, $BC2:BH2))),"")</f>
        <v>#REF!</v>
      </c>
      <c r="CM2" s="42" t="str">
        <f>IF(X2&gt;0,((4-BS2)/(SLOPE($AS2:AY2, $BC2:BI2))),"")</f>
        <v/>
      </c>
      <c r="CN2" s="42" t="str">
        <f>IF(Y2&gt;0,((4-BT2)/(SLOPE($AS2:AZ2, $BC2:BJ2))),"")</f>
        <v/>
      </c>
      <c r="CO2" s="42" t="e">
        <f>IF(#REF!&gt;0,((4-BU2)/(SLOPE($AS2:BA2, $BC2:BK2))),"")</f>
        <v>#REF!</v>
      </c>
    </row>
    <row r="3" spans="1:93">
      <c r="A3" s="42">
        <v>7</v>
      </c>
      <c r="B3" s="123" t="s">
        <v>583</v>
      </c>
      <c r="C3" s="46" t="s">
        <v>52</v>
      </c>
      <c r="D3" s="46" t="s">
        <v>53</v>
      </c>
      <c r="E3" s="45" t="s">
        <v>35</v>
      </c>
      <c r="F3" s="52" t="s">
        <v>54</v>
      </c>
      <c r="G3" s="52"/>
      <c r="H3" s="52" t="s">
        <v>38</v>
      </c>
      <c r="I3" s="52" t="s">
        <v>584</v>
      </c>
      <c r="J3" s="46" t="s">
        <v>544</v>
      </c>
      <c r="K3" s="46"/>
      <c r="L3" s="46"/>
      <c r="M3" s="72" cm="1">
        <f t="array" ref="M3">LOOKUP(2,1/(ISNUMBER(BX3:CE3)),BX3:CE3)</f>
        <v>-3.3396624602362014E-2</v>
      </c>
      <c r="N3" s="72" cm="1">
        <f t="array" ref="N3">LOOKUP(2,1/(ISNUMBER(CH3:CO3)),CH3:CO3)</f>
        <v>62.474332591495298</v>
      </c>
      <c r="O3" s="58">
        <v>14800000000</v>
      </c>
      <c r="P3" s="58">
        <v>781024967.59066546</v>
      </c>
      <c r="Q3" s="59">
        <f t="shared" si="0"/>
        <v>1.0247636500644495</v>
      </c>
      <c r="R3" s="112">
        <v>1240000</v>
      </c>
      <c r="S3" s="114"/>
      <c r="T3" s="112">
        <v>402666.66666666663</v>
      </c>
      <c r="U3" s="112">
        <v>242666.66666666666</v>
      </c>
      <c r="V3" s="112">
        <v>143999.99999999997</v>
      </c>
      <c r="X3" s="47"/>
      <c r="Y3" s="47"/>
      <c r="Z3" s="60">
        <v>9080</v>
      </c>
      <c r="AA3" s="109">
        <v>355527.77669262356</v>
      </c>
      <c r="AB3" s="115"/>
      <c r="AC3" s="109">
        <v>16165.807537309522</v>
      </c>
      <c r="AD3" s="109">
        <v>50649.119768593497</v>
      </c>
      <c r="AE3" s="109">
        <v>24222.30377152429</v>
      </c>
      <c r="AF3" s="115"/>
      <c r="AG3" s="115"/>
      <c r="AH3" s="115"/>
      <c r="AI3" s="47"/>
      <c r="AJ3" s="111">
        <v>44916</v>
      </c>
      <c r="AK3" s="119"/>
      <c r="AL3" s="111">
        <v>44930</v>
      </c>
      <c r="AM3" s="111">
        <v>44937</v>
      </c>
      <c r="AN3" s="111">
        <v>44944</v>
      </c>
      <c r="AO3" s="119"/>
      <c r="AP3" s="119"/>
      <c r="AQ3" s="117"/>
      <c r="AR3" s="48"/>
      <c r="AS3" s="42">
        <f t="shared" si="1"/>
        <v>6.0934216851622347</v>
      </c>
      <c r="AT3" s="42" t="str">
        <f t="shared" si="2"/>
        <v/>
      </c>
      <c r="AU3" s="42">
        <f t="shared" si="3"/>
        <v>5.6049456795654509</v>
      </c>
      <c r="AV3" s="42">
        <f t="shared" si="4"/>
        <v>5.385010124593375</v>
      </c>
      <c r="AW3" s="42">
        <f t="shared" si="5"/>
        <v>5.1583624920952493</v>
      </c>
      <c r="AX3" s="42" t="str">
        <f t="shared" si="8"/>
        <v/>
      </c>
      <c r="AY3" s="42" t="str">
        <f t="shared" si="6"/>
        <v/>
      </c>
      <c r="AZ3" s="42" t="str">
        <f t="shared" si="7"/>
        <v/>
      </c>
      <c r="BA3" s="42">
        <f t="shared" si="9"/>
        <v>3.958085848521085</v>
      </c>
      <c r="BC3" s="42">
        <f t="shared" ref="BC3:BC33" si="14">AJ3-$AJ3</f>
        <v>0</v>
      </c>
      <c r="BD3" s="42" t="str">
        <f t="shared" ref="BD3:BD34" si="15">IF(AK3&gt;1,(AK3-$AJ3),"")</f>
        <v/>
      </c>
      <c r="BE3" s="42">
        <f t="shared" ref="BE3:BE33" si="16">IF(AL3&gt;1,(AL3-$AJ3),"")</f>
        <v>14</v>
      </c>
      <c r="BF3" s="42">
        <f t="shared" ref="BF3:BF33" si="17">IF(AM3&gt;1,(AM3-$AJ3),"")</f>
        <v>21</v>
      </c>
      <c r="BG3" s="42">
        <f t="shared" ref="BG3:BG33" si="18">IF(AN3&gt;1,(AN3-$AJ3),"")</f>
        <v>28</v>
      </c>
      <c r="BH3" s="42" t="str">
        <f t="shared" si="10"/>
        <v/>
      </c>
      <c r="BI3" s="42" t="str">
        <f t="shared" si="11"/>
        <v/>
      </c>
      <c r="BJ3" s="42" t="str">
        <f t="shared" si="12"/>
        <v/>
      </c>
      <c r="BK3" s="42" t="str">
        <f t="shared" si="13"/>
        <v/>
      </c>
      <c r="BN3" s="42" t="e">
        <f>INTERCEPT($AS3:AT3,$BC3:BD3)</f>
        <v>#DIV/0!</v>
      </c>
      <c r="BO3" s="42">
        <f>INTERCEPT($AS3:AU3,$BC3:BE3)</f>
        <v>6.0934216851622347</v>
      </c>
      <c r="BP3" s="42">
        <f>INTERCEPT($AS3:AV3,$BC3:BF3)</f>
        <v>6.0899499069013316</v>
      </c>
      <c r="BQ3" s="42">
        <f>INTERCEPT($AS3:AW3,$BC3:BG3)</f>
        <v>6.0864318328412788</v>
      </c>
      <c r="BR3" s="42">
        <f>INTERCEPT($AS3:AX3,$BC3:BH3)</f>
        <v>6.0864318328412788</v>
      </c>
      <c r="BS3" s="42">
        <f>INTERCEPT($AS3:AY3,$BC3:BI3)</f>
        <v>6.0864318328412788</v>
      </c>
      <c r="BT3" s="42">
        <f>INTERCEPT($AS3:AZ3,$BC3:BJ3)</f>
        <v>6.0864318328412788</v>
      </c>
      <c r="BU3" s="42">
        <f>INTERCEPT($AS3:BA3,$BC3:BK3)</f>
        <v>6.0864318328412788</v>
      </c>
      <c r="BX3" s="42" t="str">
        <f t="shared" ref="BX3:BX66" si="19">IF(S3&gt;1,(SLOPE(AS3:AT3, BC3:BD3)),"")</f>
        <v/>
      </c>
      <c r="BY3" s="42">
        <f t="shared" ref="BY3:BY66" si="20">IF(T3&gt;1,(SLOPE(AS3:AU3, BC3:BE3)),"")</f>
        <v>-3.4891143256913129E-2</v>
      </c>
      <c r="BZ3" s="42">
        <f>IF(V3&gt;1,(SLOPE(AS3:AV3, BC3:BF3)),"")</f>
        <v>-3.3899206610941049E-2</v>
      </c>
      <c r="CA3" s="42">
        <f>IF(Z3&gt;1,(SLOPE(AS3:AW3, BC3:BG3)),"")</f>
        <v>-3.3396624602362014E-2</v>
      </c>
      <c r="CB3" s="42" t="e">
        <f>IF(#REF!&gt;1,(SLOPE(AS3:AX3, BC3:BH3)),"")</f>
        <v>#REF!</v>
      </c>
      <c r="CC3" s="42" t="str">
        <f t="shared" ref="CC3:CC66" si="21">IF(X3&gt;1,(SLOPE(AS3:AY3, BC3:BI3)),"")</f>
        <v/>
      </c>
      <c r="CD3" s="42" t="str">
        <f t="shared" ref="CD3:CD66" si="22">IF(X3&gt;1,(SLOPE(AS3:AZ3, BC3:BJ3)),"")</f>
        <v/>
      </c>
      <c r="CE3" s="42" t="str">
        <f t="shared" ref="CE3:CE66" si="23">IF(Y3&gt;1,(SLOPE(AS3:BA3, BC3:BK3)),"")</f>
        <v/>
      </c>
      <c r="CH3" s="42" t="str">
        <f>IF(S3&gt;0,((4-BN3)/(SLOPE($AS3:AT3, $BC3:BD3))),"")</f>
        <v/>
      </c>
      <c r="CI3" s="42">
        <f>IF(T3&gt;0,((4-BO3)/(SLOPE($AS3:AU3, $BC3:BE3))),"")</f>
        <v>59.998655525495174</v>
      </c>
      <c r="CJ3" s="42">
        <f>IF(V3&gt;0,((4-BP3)/(SLOPE($AS3:AV3, $BC3:BF3))),"")</f>
        <v>61.651882620367736</v>
      </c>
      <c r="CK3" s="42">
        <f>IF(Z3&gt;0,((4-BQ3)/(SLOPE($AS3:AW3, $BC3:BG3))),"")</f>
        <v>62.474332591495298</v>
      </c>
      <c r="CL3" s="42" t="e">
        <f>IF(#REF!&gt;0,((4-BR3)/(SLOPE($AS3:AX3, $BC3:BH3))),"")</f>
        <v>#REF!</v>
      </c>
      <c r="CM3" s="42" t="str">
        <f>IF(X3&gt;0,((4-BS3)/(SLOPE($AS3:AY3, $BC3:BI3))),"")</f>
        <v/>
      </c>
      <c r="CN3" s="42" t="str">
        <f>IF(Y3&gt;0,((4-BT3)/(SLOPE($AS3:AZ3, $BC3:BJ3))),"")</f>
        <v/>
      </c>
      <c r="CO3" s="42" t="e">
        <f>IF(#REF!&gt;0,((4-BU3)/(SLOPE($AS3:BA3, $BC3:BK3))),"")</f>
        <v>#REF!</v>
      </c>
    </row>
    <row r="4" spans="1:93">
      <c r="A4" s="42">
        <v>8</v>
      </c>
      <c r="B4" s="123" t="s">
        <v>583</v>
      </c>
      <c r="C4" s="46" t="s">
        <v>59</v>
      </c>
      <c r="D4" s="46" t="s">
        <v>60</v>
      </c>
      <c r="E4" s="45" t="s">
        <v>61</v>
      </c>
      <c r="F4" s="52" t="s">
        <v>63</v>
      </c>
      <c r="G4" s="52"/>
      <c r="H4" s="52" t="s">
        <v>38</v>
      </c>
      <c r="I4" s="52" t="s">
        <v>584</v>
      </c>
      <c r="J4" s="46" t="s">
        <v>544</v>
      </c>
      <c r="K4" s="46"/>
      <c r="L4" s="46"/>
      <c r="M4" s="72" cm="1">
        <f t="array" ref="M4">LOOKUP(2,1/(ISNUMBER(BX4:CE4)),BX4:CE4)</f>
        <v>-5.2717251993158964E-2</v>
      </c>
      <c r="N4" s="72" cm="1">
        <f t="array" ref="N4">LOOKUP(2,1/(ISNUMBER(CH4:CO4)),CH4:CO4)</f>
        <v>19.676132655446761</v>
      </c>
      <c r="O4" s="58">
        <v>2600000000</v>
      </c>
      <c r="P4" s="58">
        <v>183575597.5068582</v>
      </c>
      <c r="Q4" s="59">
        <f t="shared" si="0"/>
        <v>1.2261764006461373</v>
      </c>
      <c r="R4" s="112">
        <v>137000</v>
      </c>
      <c r="S4" s="114"/>
      <c r="T4" s="112">
        <v>12000</v>
      </c>
      <c r="U4" s="112">
        <v>9386.6666666666661</v>
      </c>
      <c r="V4" s="112">
        <v>4359.9999999999991</v>
      </c>
      <c r="X4" s="47"/>
      <c r="Y4" s="47"/>
      <c r="Z4" s="60">
        <v>280</v>
      </c>
      <c r="AA4" s="109">
        <v>15143.75558880073</v>
      </c>
      <c r="AB4" s="115"/>
      <c r="AC4" s="109">
        <v>3487.1191548325392</v>
      </c>
      <c r="AD4" s="109">
        <v>1464.4225255483218</v>
      </c>
      <c r="AE4" s="109">
        <v>901.55421356677152</v>
      </c>
      <c r="AF4" s="115"/>
      <c r="AG4" s="115"/>
      <c r="AH4" s="115"/>
      <c r="AI4" s="47"/>
      <c r="AJ4" s="111">
        <v>44916</v>
      </c>
      <c r="AK4" s="119"/>
      <c r="AL4" s="111">
        <v>44930</v>
      </c>
      <c r="AM4" s="111">
        <v>44937</v>
      </c>
      <c r="AN4" s="111">
        <v>44944</v>
      </c>
      <c r="AO4" s="119"/>
      <c r="AP4" s="119"/>
      <c r="AQ4" s="117"/>
      <c r="AR4" s="48"/>
      <c r="AS4" s="42">
        <f t="shared" si="1"/>
        <v>5.1367205671564067</v>
      </c>
      <c r="AT4" s="42" t="str">
        <f t="shared" si="2"/>
        <v/>
      </c>
      <c r="AU4" s="42">
        <f t="shared" si="3"/>
        <v>4.0791812460476251</v>
      </c>
      <c r="AV4" s="42">
        <f t="shared" si="4"/>
        <v>3.9725113957504123</v>
      </c>
      <c r="AW4" s="42">
        <f t="shared" si="5"/>
        <v>3.6394864892685859</v>
      </c>
      <c r="AX4" s="42" t="str">
        <f t="shared" si="8"/>
        <v/>
      </c>
      <c r="AY4" s="42" t="str">
        <f t="shared" si="6"/>
        <v/>
      </c>
      <c r="AZ4" s="42" t="str">
        <f t="shared" si="7"/>
        <v/>
      </c>
      <c r="BA4" s="42">
        <f t="shared" si="9"/>
        <v>2.4471580313422194</v>
      </c>
      <c r="BC4" s="42">
        <f t="shared" si="14"/>
        <v>0</v>
      </c>
      <c r="BD4" s="42" t="str">
        <f t="shared" si="15"/>
        <v/>
      </c>
      <c r="BE4" s="42">
        <f t="shared" si="16"/>
        <v>14</v>
      </c>
      <c r="BF4" s="42">
        <f t="shared" si="17"/>
        <v>21</v>
      </c>
      <c r="BG4" s="42">
        <f t="shared" si="18"/>
        <v>28</v>
      </c>
      <c r="BH4" s="42" t="str">
        <f t="shared" si="10"/>
        <v/>
      </c>
      <c r="BI4" s="42" t="str">
        <f t="shared" si="11"/>
        <v/>
      </c>
      <c r="BJ4" s="42" t="str">
        <f t="shared" si="12"/>
        <v/>
      </c>
      <c r="BK4" s="42" t="str">
        <f t="shared" si="13"/>
        <v/>
      </c>
      <c r="BN4" s="42" t="e">
        <f>INTERCEPT($AS4:AT4,$BC4:BD4)</f>
        <v>#DIV/0!</v>
      </c>
      <c r="BO4" s="42">
        <f>INTERCEPT($AS4:AU4,$BC4:BE4)</f>
        <v>5.1367205671564058</v>
      </c>
      <c r="BP4" s="42">
        <f>INTERCEPT($AS4:AV4,$BC4:BF4)</f>
        <v>5.0764205942625242</v>
      </c>
      <c r="BQ4" s="42">
        <f>INTERCEPT($AS4:AW4,$BC4:BG4)</f>
        <v>5.0372716434480109</v>
      </c>
      <c r="BR4" s="42">
        <f>INTERCEPT($AS4:AX4,$BC4:BH4)</f>
        <v>5.0372716434480109</v>
      </c>
      <c r="BS4" s="42">
        <f>INTERCEPT($AS4:AY4,$BC4:BI4)</f>
        <v>5.0372716434480109</v>
      </c>
      <c r="BT4" s="42">
        <f>INTERCEPT($AS4:AZ4,$BC4:BJ4)</f>
        <v>5.0372716434480109</v>
      </c>
      <c r="BU4" s="42">
        <f>INTERCEPT($AS4:BA4,$BC4:BK4)</f>
        <v>5.0372716434480109</v>
      </c>
      <c r="BX4" s="42" t="str">
        <f t="shared" si="19"/>
        <v/>
      </c>
      <c r="BY4" s="42">
        <f t="shared" si="20"/>
        <v>-7.5538522936341543E-2</v>
      </c>
      <c r="BZ4" s="42">
        <f t="shared" ref="BZ4:BZ50" si="24">IF(U4&gt;1,(SLOPE(AS4:AV4, BC4:BF4)),"")</f>
        <v>-5.8309959252375088E-2</v>
      </c>
      <c r="CA4" s="42">
        <f t="shared" ref="CA4:CA66" si="25">IF(V4&gt;1,(SLOPE(AS4:AW4, BC4:BG4)),"")</f>
        <v>-5.2717251993158964E-2</v>
      </c>
      <c r="CB4" s="42">
        <f>IF(Z4&gt;1,(SLOPE(AS4:AX4, BC4:BH4)),"")</f>
        <v>-5.2717251993158964E-2</v>
      </c>
      <c r="CC4" s="42" t="str">
        <f t="shared" si="21"/>
        <v/>
      </c>
      <c r="CD4" s="42" t="str">
        <f t="shared" si="22"/>
        <v/>
      </c>
      <c r="CE4" s="42" t="str">
        <f t="shared" si="23"/>
        <v/>
      </c>
      <c r="CH4" s="42" t="str">
        <f>IF(S4&gt;0,((4-BN4)/(SLOPE($AS4:AT4, $BC4:BD4))),"")</f>
        <v/>
      </c>
      <c r="CI4" s="42">
        <f>IF(T4&gt;0,((4-BO4)/(SLOPE($AS4:AU4, $BC4:BE4))),"")</f>
        <v>15.048223382847352</v>
      </c>
      <c r="CJ4" s="42">
        <f>IF(U4&gt;0,((4-BP4)/(SLOPE($AS4:AV4, $BC4:BF4))),"")</f>
        <v>18.460321496772085</v>
      </c>
      <c r="CK4" s="42">
        <f>IF(V4&gt;0,((4-BQ4)/(SLOPE($AS4:AW4, $BC4:BG4))),"")</f>
        <v>19.676132655446761</v>
      </c>
      <c r="CL4" s="42">
        <f>IF(Z4&gt;0,((4-BR4)/(SLOPE($AS4:AX4, $BC4:BH4))),"")</f>
        <v>19.676132655446761</v>
      </c>
      <c r="CM4" s="42" t="str">
        <f>IF(X4&gt;0,((4-BS4)/(SLOPE($AS4:AY4, $BC4:BI4))),"")</f>
        <v/>
      </c>
      <c r="CN4" s="42" t="str">
        <f>IF(Y4&gt;0,((4-BT4)/(SLOPE($AS4:AZ4, $BC4:BJ4))),"")</f>
        <v/>
      </c>
      <c r="CO4" s="42" t="e">
        <f>IF(#REF!&gt;0,((4-BU4)/(SLOPE($AS4:BA4, $BC4:BK4))),"")</f>
        <v>#REF!</v>
      </c>
    </row>
    <row r="5" spans="1:93">
      <c r="A5" s="42">
        <v>9</v>
      </c>
      <c r="B5" s="123" t="s">
        <v>583</v>
      </c>
      <c r="C5" s="46" t="s">
        <v>67</v>
      </c>
      <c r="D5" s="46" t="s">
        <v>68</v>
      </c>
      <c r="E5" s="45" t="s">
        <v>35</v>
      </c>
      <c r="F5" s="52" t="s">
        <v>63</v>
      </c>
      <c r="G5" s="52"/>
      <c r="H5" s="52" t="s">
        <v>38</v>
      </c>
      <c r="I5" s="52" t="s">
        <v>584</v>
      </c>
      <c r="J5" s="46" t="s">
        <v>544</v>
      </c>
      <c r="K5" s="46"/>
      <c r="L5" s="46"/>
      <c r="M5" s="72" cm="1">
        <f t="array" ref="M5">LOOKUP(2,1/(ISNUMBER(BX5:CE5)),BX5:CE5)</f>
        <v>-4.4827625875262844E-2</v>
      </c>
      <c r="N5" s="72" cm="1">
        <f t="array" ref="N5">LOOKUP(2,1/(ISNUMBER(CH5:CO5)),CH5:CO5)</f>
        <v>45.968616667031817</v>
      </c>
      <c r="O5" s="58">
        <v>11700000000</v>
      </c>
      <c r="P5" s="58">
        <v>624499799.83983982</v>
      </c>
      <c r="Q5" s="59">
        <f t="shared" si="0"/>
        <v>0.95541164122427613</v>
      </c>
      <c r="R5" s="112">
        <v>1150000</v>
      </c>
      <c r="S5" s="114"/>
      <c r="T5" s="112">
        <v>272000</v>
      </c>
      <c r="U5" s="112">
        <v>130666.66666666666</v>
      </c>
      <c r="V5" s="112">
        <v>64133.333333333321</v>
      </c>
      <c r="X5" s="47"/>
      <c r="Y5" s="47"/>
      <c r="Z5" s="60">
        <v>11900</v>
      </c>
      <c r="AA5" s="109">
        <v>140475.38337136986</v>
      </c>
      <c r="AB5" s="115"/>
      <c r="AC5" s="109">
        <v>65848.31053261731</v>
      </c>
      <c r="AD5" s="109">
        <v>20132.891827388637</v>
      </c>
      <c r="AE5" s="109">
        <v>15971.641535337989</v>
      </c>
      <c r="AF5" s="115"/>
      <c r="AG5" s="115"/>
      <c r="AH5" s="115"/>
      <c r="AI5" s="47"/>
      <c r="AJ5" s="111">
        <v>44916</v>
      </c>
      <c r="AK5" s="119"/>
      <c r="AL5" s="111">
        <v>44930</v>
      </c>
      <c r="AM5" s="111">
        <v>44937</v>
      </c>
      <c r="AN5" s="111">
        <v>44944</v>
      </c>
      <c r="AO5" s="119"/>
      <c r="AP5" s="119"/>
      <c r="AQ5" s="117"/>
      <c r="AR5" s="48"/>
      <c r="AS5" s="42">
        <f t="shared" si="1"/>
        <v>6.0606978403536118</v>
      </c>
      <c r="AT5" s="42" t="str">
        <f t="shared" si="2"/>
        <v/>
      </c>
      <c r="AU5" s="42">
        <f t="shared" si="3"/>
        <v>5.4345689040341991</v>
      </c>
      <c r="AV5" s="42">
        <f t="shared" si="4"/>
        <v>5.116164812300795</v>
      </c>
      <c r="AW5" s="42">
        <f t="shared" si="5"/>
        <v>4.8070838129821318</v>
      </c>
      <c r="AX5" s="42" t="str">
        <f t="shared" si="8"/>
        <v/>
      </c>
      <c r="AY5" s="42" t="str">
        <f t="shared" si="6"/>
        <v/>
      </c>
      <c r="AZ5" s="42" t="str">
        <f t="shared" si="7"/>
        <v/>
      </c>
      <c r="BA5" s="42">
        <f t="shared" si="9"/>
        <v>4.075546961392531</v>
      </c>
      <c r="BC5" s="42">
        <f t="shared" si="14"/>
        <v>0</v>
      </c>
      <c r="BD5" s="42" t="str">
        <f t="shared" si="15"/>
        <v/>
      </c>
      <c r="BE5" s="42">
        <f t="shared" si="16"/>
        <v>14</v>
      </c>
      <c r="BF5" s="42">
        <f t="shared" si="17"/>
        <v>21</v>
      </c>
      <c r="BG5" s="42">
        <f t="shared" si="18"/>
        <v>28</v>
      </c>
      <c r="BH5" s="42" t="str">
        <f t="shared" si="10"/>
        <v/>
      </c>
      <c r="BI5" s="42" t="str">
        <f t="shared" si="11"/>
        <v/>
      </c>
      <c r="BJ5" s="42" t="str">
        <f t="shared" si="12"/>
        <v/>
      </c>
      <c r="BK5" s="42" t="str">
        <f t="shared" si="13"/>
        <v/>
      </c>
      <c r="BN5" s="42" t="e">
        <f>INTERCEPT($AS5:AT5,$BC5:BD5)</f>
        <v>#DIV/0!</v>
      </c>
      <c r="BO5" s="42">
        <f>INTERCEPT($AS5:AU5,$BC5:BE5)</f>
        <v>6.0606978403536118</v>
      </c>
      <c r="BP5" s="42">
        <f>INTERCEPT($AS5:AV5,$BC5:BF5)</f>
        <v>6.0614606437212837</v>
      </c>
      <c r="BQ5" s="42">
        <f>INTERCEPT($AS5:AW5,$BC5:BG5)</f>
        <v>6.0606639499530743</v>
      </c>
      <c r="BR5" s="42">
        <f>INTERCEPT($AS5:AX5,$BC5:BH5)</f>
        <v>6.0606639499530743</v>
      </c>
      <c r="BS5" s="42">
        <f>INTERCEPT($AS5:AY5,$BC5:BI5)</f>
        <v>6.0606639499530743</v>
      </c>
      <c r="BT5" s="42">
        <f>INTERCEPT($AS5:AZ5,$BC5:BJ5)</f>
        <v>6.0606639499530743</v>
      </c>
      <c r="BU5" s="42">
        <f>INTERCEPT($AS5:BA5,$BC5:BK5)</f>
        <v>6.0606639499530743</v>
      </c>
      <c r="BX5" s="42" t="str">
        <f t="shared" si="19"/>
        <v/>
      </c>
      <c r="BY5" s="42">
        <f t="shared" si="20"/>
        <v>-4.4723495451386618E-2</v>
      </c>
      <c r="BZ5" s="42">
        <f t="shared" si="24"/>
        <v>-4.4941439270721223E-2</v>
      </c>
      <c r="CA5" s="42">
        <f t="shared" si="25"/>
        <v>-4.4827625875262844E-2</v>
      </c>
      <c r="CB5" s="42">
        <f>IF(Z5&gt;1,(SLOPE(AS5:AX5, BC5:BH5)),"")</f>
        <v>-4.4827625875262844E-2</v>
      </c>
      <c r="CC5" s="42" t="str">
        <f t="shared" si="21"/>
        <v/>
      </c>
      <c r="CD5" s="42" t="str">
        <f t="shared" si="22"/>
        <v/>
      </c>
      <c r="CE5" s="42" t="str">
        <f t="shared" si="23"/>
        <v/>
      </c>
      <c r="CH5" s="42" t="str">
        <f>IF(S5&gt;0,((4-BN5)/(SLOPE($AS5:AT5, $BC5:BD5))),"")</f>
        <v/>
      </c>
      <c r="CI5" s="42">
        <f>IF(T5&gt;0,((4-BO5)/(SLOPE($AS5:AU5, $BC5:BE5))),"")</f>
        <v>46.076403902587209</v>
      </c>
      <c r="CJ5" s="42">
        <f>IF(U5&gt;0,((4-BP5)/(SLOPE($AS5:AV5, $BC5:BF5))),"")</f>
        <v>45.869929338562578</v>
      </c>
      <c r="CK5" s="42">
        <f>IF(V5&gt;0,((4-BQ5)/(SLOPE($AS5:AW5, $BC5:BG5))),"")</f>
        <v>45.968616667031817</v>
      </c>
      <c r="CL5" s="42">
        <f>IF(Z5&gt;0,((4-BR5)/(SLOPE($AS5:AX5, $BC5:BH5))),"")</f>
        <v>45.968616667031817</v>
      </c>
      <c r="CM5" s="42" t="str">
        <f>IF(X5&gt;0,((4-BS5)/(SLOPE($AS5:AY5, $BC5:BI5))),"")</f>
        <v/>
      </c>
      <c r="CN5" s="42" t="str">
        <f>IF(Y5&gt;0,((4-BT5)/(SLOPE($AS5:AZ5, $BC5:BJ5))),"")</f>
        <v/>
      </c>
      <c r="CO5" s="42" t="e">
        <f>IF(#REF!&gt;0,((4-BU5)/(SLOPE($AS5:BA5, $BC5:BK5))),"")</f>
        <v>#REF!</v>
      </c>
    </row>
    <row r="6" spans="1:93">
      <c r="A6" s="42">
        <v>10</v>
      </c>
      <c r="B6" s="123" t="s">
        <v>585</v>
      </c>
      <c r="C6" s="46" t="s">
        <v>69</v>
      </c>
      <c r="D6" s="46" t="s">
        <v>70</v>
      </c>
      <c r="E6" s="45" t="s">
        <v>61</v>
      </c>
      <c r="F6" s="52" t="s">
        <v>39</v>
      </c>
      <c r="G6" s="52"/>
      <c r="H6" s="52" t="s">
        <v>71</v>
      </c>
      <c r="I6" s="52" t="s">
        <v>586</v>
      </c>
      <c r="J6" s="46" t="s">
        <v>544</v>
      </c>
      <c r="K6" s="46"/>
      <c r="L6" s="46"/>
      <c r="M6" s="72" cm="1">
        <f t="array" ref="M6">LOOKUP(2,1/(ISNUMBER(BX6:CE6)),BX6:CE6)</f>
        <v>-0.10702218241354292</v>
      </c>
      <c r="N6" s="72" cm="1">
        <f t="array" ref="N6">LOOKUP(2,1/(ISNUMBER(CH6:CO6)),CH6:CO6)</f>
        <v>1.0060618113379676</v>
      </c>
      <c r="O6" s="58">
        <v>253000000</v>
      </c>
      <c r="P6" s="58">
        <v>23100000</v>
      </c>
      <c r="Q6" s="59">
        <f t="shared" si="0"/>
        <v>1.3298548419376059</v>
      </c>
      <c r="R6" s="112">
        <v>10500</v>
      </c>
      <c r="S6" s="112">
        <v>3400</v>
      </c>
      <c r="T6" s="112">
        <v>333.33333333333326</v>
      </c>
      <c r="U6" s="121"/>
      <c r="V6" s="60"/>
      <c r="W6" s="60"/>
      <c r="X6" s="60"/>
      <c r="Y6" s="47"/>
      <c r="Z6" s="47"/>
      <c r="AA6" s="109">
        <v>3106.98138606161</v>
      </c>
      <c r="AB6" s="109" t="s">
        <v>587</v>
      </c>
      <c r="AC6" s="109">
        <v>201.32891827388664</v>
      </c>
      <c r="AD6" s="122"/>
      <c r="AE6" s="47"/>
      <c r="AF6" s="47"/>
      <c r="AG6" s="47"/>
      <c r="AH6" s="47"/>
      <c r="AI6" s="47"/>
      <c r="AJ6" s="111">
        <v>44931</v>
      </c>
      <c r="AK6" s="111">
        <v>44938</v>
      </c>
      <c r="AL6" s="111">
        <v>44945</v>
      </c>
      <c r="AM6" s="111">
        <v>44952</v>
      </c>
      <c r="AN6" s="61"/>
      <c r="AO6" s="119"/>
      <c r="AP6" s="119"/>
      <c r="AQ6" s="117"/>
      <c r="AR6" s="48"/>
      <c r="AS6" s="42">
        <f t="shared" si="1"/>
        <v>4.0211892990699383</v>
      </c>
      <c r="AT6" s="42">
        <f t="shared" si="2"/>
        <v>3.5314789170422549</v>
      </c>
      <c r="AU6" s="42">
        <f t="shared" si="3"/>
        <v>2.5228787452803374</v>
      </c>
      <c r="AV6" s="42" t="str">
        <f t="shared" si="4"/>
        <v/>
      </c>
      <c r="AW6" s="42" t="str">
        <f t="shared" si="5"/>
        <v/>
      </c>
      <c r="AX6" s="42" t="str">
        <f t="shared" si="8"/>
        <v/>
      </c>
      <c r="AY6" s="42" t="str">
        <f t="shared" si="6"/>
        <v/>
      </c>
      <c r="AZ6" s="42" t="str">
        <f t="shared" si="7"/>
        <v/>
      </c>
      <c r="BA6" s="42" t="str">
        <f t="shared" si="9"/>
        <v/>
      </c>
      <c r="BC6" s="42">
        <f t="shared" si="14"/>
        <v>0</v>
      </c>
      <c r="BD6" s="42">
        <f t="shared" si="15"/>
        <v>7</v>
      </c>
      <c r="BE6" s="42">
        <f t="shared" si="16"/>
        <v>14</v>
      </c>
      <c r="BF6" s="42">
        <f t="shared" si="17"/>
        <v>21</v>
      </c>
      <c r="BG6" s="42" t="str">
        <f t="shared" si="18"/>
        <v/>
      </c>
      <c r="BH6" s="42" t="str">
        <f t="shared" si="10"/>
        <v/>
      </c>
      <c r="BI6" s="42" t="str">
        <f t="shared" si="11"/>
        <v/>
      </c>
      <c r="BJ6" s="42" t="str">
        <f t="shared" si="12"/>
        <v/>
      </c>
      <c r="BK6" s="42" t="str">
        <f t="shared" si="13"/>
        <v/>
      </c>
      <c r="BN6" s="42">
        <f>INTERCEPT($AS6:AT6,$BC6:BD6)</f>
        <v>4.0211892990699383</v>
      </c>
      <c r="BO6" s="42">
        <f>INTERCEPT($AS6:AU6,$BC6:BE6)</f>
        <v>4.1076709306923114</v>
      </c>
      <c r="BP6" s="42">
        <f>INTERCEPT($AS6:AV6,$BC6:BF6)</f>
        <v>4.1076709306923114</v>
      </c>
      <c r="BQ6" s="42">
        <f>INTERCEPT($AS6:AW6,$BC6:BG6)</f>
        <v>4.1076709306923114</v>
      </c>
      <c r="BR6" s="42">
        <f>INTERCEPT($AS6:AX6,$BC6:BH6)</f>
        <v>4.1076709306923114</v>
      </c>
      <c r="BS6" s="42">
        <f>INTERCEPT($AS6:AY6,$BC6:BI6)</f>
        <v>4.1076709306923114</v>
      </c>
      <c r="BT6" s="42">
        <f>INTERCEPT($AS6:AZ6,$BC6:BJ6)</f>
        <v>4.1076709306923114</v>
      </c>
      <c r="BU6" s="42">
        <f>INTERCEPT($AS6:BA6,$BC6:BK6)</f>
        <v>4.1076709306923114</v>
      </c>
      <c r="BX6" s="42">
        <f t="shared" si="19"/>
        <v>-6.9958626003954763E-2</v>
      </c>
      <c r="BY6" s="42">
        <f t="shared" si="20"/>
        <v>-0.10702218241354292</v>
      </c>
      <c r="BZ6" s="42" t="str">
        <f t="shared" si="24"/>
        <v/>
      </c>
      <c r="CA6" s="42" t="str">
        <f t="shared" si="25"/>
        <v/>
      </c>
      <c r="CB6" s="42" t="str">
        <f>IF(Z6&gt;1,(SLOPE(AS6:AX6, BC6:BH6)),"")</f>
        <v/>
      </c>
      <c r="CC6" s="42" t="str">
        <f t="shared" si="21"/>
        <v/>
      </c>
      <c r="CD6" s="42" t="str">
        <f t="shared" si="22"/>
        <v/>
      </c>
      <c r="CE6" s="42" t="str">
        <f t="shared" si="23"/>
        <v/>
      </c>
      <c r="CH6" s="42">
        <f>IF(S6&gt;0,((4-BN6)/(SLOPE($AS6:AT6, $BC6:BD6))),"")</f>
        <v>0.30288329374479767</v>
      </c>
      <c r="CI6" s="42">
        <f>IF(T6&gt;0,((4-BO6)/(SLOPE($AS6:AU6, $BC6:BE6))),"")</f>
        <v>1.0060618113379676</v>
      </c>
      <c r="CJ6" s="42" t="str">
        <f>IF(U6&gt;0,((4-BP6)/(SLOPE($AS6:AV6, $BC6:BF6))),"")</f>
        <v/>
      </c>
      <c r="CK6" s="42" t="str">
        <f>IF(V6&gt;0,((4-BQ6)/(SLOPE($AS6:AW6, $BC6:BG6))),"")</f>
        <v/>
      </c>
      <c r="CL6" s="42" t="str">
        <f>IF(Z6&gt;0,((4-BR6)/(SLOPE($AS6:AX6, $BC6:BH6))),"")</f>
        <v/>
      </c>
      <c r="CM6" s="42" t="str">
        <f>IF(X6&gt;0,((4-BS6)/(SLOPE($AS6:AY6, $BC6:BI6))),"")</f>
        <v/>
      </c>
      <c r="CN6" s="42" t="str">
        <f>IF(Y6&gt;0,((4-BT6)/(SLOPE($AS6:AZ6, $BC6:BJ6))),"")</f>
        <v/>
      </c>
      <c r="CO6" s="42" t="e">
        <f>IF(#REF!&gt;0,((4-BU6)/(SLOPE($AS6:BA6, $BC6:BK6))),"")</f>
        <v>#REF!</v>
      </c>
    </row>
    <row r="7" spans="1:93">
      <c r="A7" s="42">
        <v>11</v>
      </c>
      <c r="B7" s="123" t="s">
        <v>585</v>
      </c>
      <c r="C7" s="46" t="s">
        <v>73</v>
      </c>
      <c r="D7" s="46" t="s">
        <v>74</v>
      </c>
      <c r="E7" s="45" t="s">
        <v>61</v>
      </c>
      <c r="F7" s="52" t="s">
        <v>54</v>
      </c>
      <c r="G7" s="52"/>
      <c r="H7" s="52" t="s">
        <v>71</v>
      </c>
      <c r="I7" s="52" t="s">
        <v>586</v>
      </c>
      <c r="J7" s="46" t="s">
        <v>544</v>
      </c>
      <c r="K7" s="46"/>
      <c r="L7" s="46"/>
      <c r="M7" s="72" cm="1">
        <f t="array" ref="M7">LOOKUP(2,1/(ISNUMBER(BX7:CE7)),BX7:CE7)</f>
        <v>-7.8743391779948144E-2</v>
      </c>
      <c r="N7" s="72" cm="1">
        <f t="array" ref="N7">LOOKUP(2,1/(ISNUMBER(CH7:CO7)),CH7:CO7)</f>
        <v>17.523733206848402</v>
      </c>
      <c r="O7" s="58">
        <v>5546666666.666667</v>
      </c>
      <c r="P7" s="58">
        <v>378065250.10020864</v>
      </c>
      <c r="Q7" s="59">
        <f t="shared" si="0"/>
        <v>1.268709813129961</v>
      </c>
      <c r="R7" s="112">
        <v>265000</v>
      </c>
      <c r="S7" s="112">
        <v>55200</v>
      </c>
      <c r="T7" s="112">
        <v>20933.333333333328</v>
      </c>
      <c r="U7" s="121"/>
      <c r="V7" s="47"/>
      <c r="W7" s="47"/>
      <c r="X7" s="47"/>
      <c r="Y7" s="47"/>
      <c r="Z7" s="47"/>
      <c r="AA7" s="109">
        <v>34486.712417006762</v>
      </c>
      <c r="AB7" s="109" t="s">
        <v>587</v>
      </c>
      <c r="AC7" s="109">
        <v>7270.0298027816416</v>
      </c>
      <c r="AD7" s="122"/>
      <c r="AE7" s="47"/>
      <c r="AF7" s="47"/>
      <c r="AG7" s="47"/>
      <c r="AH7" s="47"/>
      <c r="AI7" s="47"/>
      <c r="AJ7" s="111">
        <v>44931</v>
      </c>
      <c r="AK7" s="111">
        <v>44938</v>
      </c>
      <c r="AL7" s="111">
        <v>44945</v>
      </c>
      <c r="AM7" s="111">
        <v>44952</v>
      </c>
      <c r="AN7" s="49">
        <v>44959</v>
      </c>
      <c r="AO7" s="117"/>
      <c r="AP7" s="117"/>
      <c r="AQ7" s="117"/>
      <c r="AR7" s="48"/>
      <c r="AS7" s="42">
        <f t="shared" si="1"/>
        <v>5.4232458739368079</v>
      </c>
      <c r="AT7" s="42">
        <f t="shared" si="2"/>
        <v>4.7419390777291985</v>
      </c>
      <c r="AU7" s="42">
        <f t="shared" si="3"/>
        <v>4.3208383890175339</v>
      </c>
      <c r="AV7" s="42" t="str">
        <f t="shared" si="4"/>
        <v/>
      </c>
      <c r="AW7" s="42" t="str">
        <f t="shared" si="5"/>
        <v/>
      </c>
      <c r="AX7" s="42" t="str">
        <f t="shared" si="8"/>
        <v/>
      </c>
      <c r="AY7" s="42" t="str">
        <f t="shared" si="6"/>
        <v/>
      </c>
      <c r="AZ7" s="42" t="str">
        <f t="shared" si="7"/>
        <v/>
      </c>
      <c r="BA7" s="42" t="str">
        <f t="shared" si="9"/>
        <v/>
      </c>
      <c r="BC7" s="42">
        <f t="shared" si="14"/>
        <v>0</v>
      </c>
      <c r="BD7" s="42">
        <f t="shared" si="15"/>
        <v>7</v>
      </c>
      <c r="BE7" s="42">
        <f t="shared" si="16"/>
        <v>14</v>
      </c>
      <c r="BF7" s="42">
        <f t="shared" si="17"/>
        <v>21</v>
      </c>
      <c r="BG7" s="42">
        <f t="shared" si="18"/>
        <v>28</v>
      </c>
      <c r="BH7" s="42" t="str">
        <f t="shared" si="10"/>
        <v/>
      </c>
      <c r="BI7" s="42" t="str">
        <f t="shared" si="11"/>
        <v/>
      </c>
      <c r="BJ7" s="42" t="str">
        <f t="shared" si="12"/>
        <v/>
      </c>
      <c r="BK7" s="42" t="str">
        <f t="shared" si="13"/>
        <v/>
      </c>
      <c r="BN7" s="42">
        <f>INTERCEPT($AS7:AT7,$BC7:BD7)</f>
        <v>5.4232458739368079</v>
      </c>
      <c r="BO7" s="42">
        <f>INTERCEPT($AS7:AU7,$BC7:BE7)</f>
        <v>5.3798781893541507</v>
      </c>
      <c r="BP7" s="42">
        <f>INTERCEPT($AS7:AV7,$BC7:BF7)</f>
        <v>5.3798781893541507</v>
      </c>
      <c r="BQ7" s="42">
        <f>INTERCEPT($AS7:AW7,$BC7:BG7)</f>
        <v>5.3798781893541507</v>
      </c>
      <c r="BR7" s="42">
        <f>INTERCEPT($AS7:AX7,$BC7:BH7)</f>
        <v>5.3798781893541507</v>
      </c>
      <c r="BS7" s="42">
        <f>INTERCEPT($AS7:AY7,$BC7:BI7)</f>
        <v>5.3798781893541507</v>
      </c>
      <c r="BT7" s="42">
        <f>INTERCEPT($AS7:AZ7,$BC7:BJ7)</f>
        <v>5.3798781893541507</v>
      </c>
      <c r="BU7" s="42">
        <f>INTERCEPT($AS7:BA7,$BC7:BK7)</f>
        <v>5.3798781893541507</v>
      </c>
      <c r="BX7" s="42">
        <f t="shared" si="19"/>
        <v>-9.7329542315372761E-2</v>
      </c>
      <c r="BY7" s="42">
        <f t="shared" si="20"/>
        <v>-7.8743391779948144E-2</v>
      </c>
      <c r="BZ7" s="42" t="str">
        <f t="shared" si="24"/>
        <v/>
      </c>
      <c r="CA7" s="42" t="str">
        <f t="shared" si="25"/>
        <v/>
      </c>
      <c r="CB7" s="42" t="str">
        <f t="shared" ref="CB7:CB66" si="26">IF(W7&gt;1,(SLOPE(AS7:AX7, BC7:BH7)),"")</f>
        <v/>
      </c>
      <c r="CC7" s="42" t="str">
        <f t="shared" si="21"/>
        <v/>
      </c>
      <c r="CD7" s="42" t="str">
        <f t="shared" si="22"/>
        <v/>
      </c>
      <c r="CE7" s="42" t="str">
        <f t="shared" si="23"/>
        <v/>
      </c>
      <c r="CH7" s="42">
        <f>IF(S7&gt;0,((4-BN7)/(SLOPE($AS7:AT7, $BC7:BD7))),"")</f>
        <v>14.622958662695906</v>
      </c>
      <c r="CI7" s="42">
        <f>IF(T7&gt;0,((4-BO7)/(SLOPE($AS7:AU7, $BC7:BE7))),"")</f>
        <v>17.523733206848402</v>
      </c>
      <c r="CJ7" s="42" t="str">
        <f>IF(U7&gt;0,((4-BP7)/(SLOPE($AS7:AV7, $BC7:BF7))),"")</f>
        <v/>
      </c>
      <c r="CK7" s="42" t="str">
        <f>IF(V7&gt;0,((4-BQ7)/(SLOPE($AS7:AW7, $BC7:BG7))),"")</f>
        <v/>
      </c>
      <c r="CL7" s="42" t="str">
        <f>IF(W7&gt;0,((4-BR7)/(SLOPE($AS7:AX7, $BC7:BH7))),"")</f>
        <v/>
      </c>
      <c r="CM7" s="42" t="str">
        <f>IF(X7&gt;0,((4-BS7)/(SLOPE($AS7:AY7, $BC7:BI7))),"")</f>
        <v/>
      </c>
      <c r="CN7" s="42" t="str">
        <f>IF(Y7&gt;0,((4-BT7)/(SLOPE($AS7:AZ7, $BC7:BJ7))),"")</f>
        <v/>
      </c>
      <c r="CO7" s="42" t="str">
        <f>IF(Z7&gt;0,((4-BU7)/(SLOPE($AS7:BA7, $BC7:BK7))),"")</f>
        <v/>
      </c>
    </row>
    <row r="8" spans="1:93">
      <c r="A8" s="42">
        <v>12</v>
      </c>
      <c r="B8" s="123" t="s">
        <v>585</v>
      </c>
      <c r="C8" s="46" t="s">
        <v>76</v>
      </c>
      <c r="D8" s="46" t="s">
        <v>77</v>
      </c>
      <c r="E8" s="45" t="s">
        <v>61</v>
      </c>
      <c r="F8" s="52" t="s">
        <v>39</v>
      </c>
      <c r="G8" s="52"/>
      <c r="H8" s="52" t="s">
        <v>38</v>
      </c>
      <c r="I8" s="52" t="s">
        <v>584</v>
      </c>
      <c r="J8" s="46" t="s">
        <v>544</v>
      </c>
      <c r="K8" s="46"/>
      <c r="L8" s="46"/>
      <c r="M8" s="72" cm="1">
        <f t="array" ref="M8">LOOKUP(2,1/(ISNUMBER(BX8:CE8)),BX8:CE8)</f>
        <v>-9.5818475194256417E-2</v>
      </c>
      <c r="N8" s="72" cm="1">
        <f t="array" ref="N8">LOOKUP(2,1/(ISNUMBER(CH8:CO8)),CH8:CO8)</f>
        <v>0.7776631762231061</v>
      </c>
      <c r="O8" s="58">
        <v>653333333.33333337</v>
      </c>
      <c r="P8" s="58">
        <v>83266639.978645563</v>
      </c>
      <c r="Q8" s="59">
        <f t="shared" si="0"/>
        <v>1.6838771904209153</v>
      </c>
      <c r="R8" s="112">
        <v>12000</v>
      </c>
      <c r="S8" s="112">
        <v>2480</v>
      </c>
      <c r="T8" s="112">
        <v>546.66666666666663</v>
      </c>
      <c r="U8" s="121"/>
      <c r="V8" s="47"/>
      <c r="W8" s="47"/>
      <c r="X8" s="47"/>
      <c r="Y8" s="47"/>
      <c r="Z8" s="47"/>
      <c r="AA8" s="109">
        <v>1833.030277982336</v>
      </c>
      <c r="AB8" s="109" t="s">
        <v>587</v>
      </c>
      <c r="AC8" s="109">
        <v>360.73998022583146</v>
      </c>
      <c r="AD8" s="122"/>
      <c r="AE8" s="47"/>
      <c r="AF8" s="47"/>
      <c r="AG8" s="47"/>
      <c r="AH8" s="47"/>
      <c r="AI8" s="47"/>
      <c r="AJ8" s="111">
        <v>44931</v>
      </c>
      <c r="AK8" s="111">
        <v>44938</v>
      </c>
      <c r="AL8" s="111">
        <v>44945</v>
      </c>
      <c r="AM8" s="111">
        <v>44952</v>
      </c>
      <c r="AN8" s="49"/>
      <c r="AO8" s="117"/>
      <c r="AP8" s="117"/>
      <c r="AQ8" s="117"/>
      <c r="AR8" s="48"/>
      <c r="AS8" s="42">
        <f t="shared" si="1"/>
        <v>4.0791812460476251</v>
      </c>
      <c r="AT8" s="42">
        <f t="shared" si="2"/>
        <v>3.3944516808262164</v>
      </c>
      <c r="AU8" s="42">
        <f t="shared" si="3"/>
        <v>2.7377225933280354</v>
      </c>
      <c r="AV8" s="42" t="str">
        <f t="shared" si="4"/>
        <v/>
      </c>
      <c r="AW8" s="42" t="str">
        <f t="shared" si="5"/>
        <v/>
      </c>
      <c r="AX8" s="42" t="str">
        <f t="shared" si="8"/>
        <v/>
      </c>
      <c r="AY8" s="42" t="str">
        <f t="shared" si="6"/>
        <v/>
      </c>
      <c r="AZ8" s="42" t="str">
        <f t="shared" si="7"/>
        <v/>
      </c>
      <c r="BA8" s="42" t="str">
        <f t="shared" si="9"/>
        <v/>
      </c>
      <c r="BC8" s="42">
        <f t="shared" si="14"/>
        <v>0</v>
      </c>
      <c r="BD8" s="42">
        <f t="shared" si="15"/>
        <v>7</v>
      </c>
      <c r="BE8" s="42">
        <f t="shared" si="16"/>
        <v>14</v>
      </c>
      <c r="BF8" s="42">
        <f t="shared" si="17"/>
        <v>21</v>
      </c>
      <c r="BG8" s="42" t="str">
        <f t="shared" si="18"/>
        <v/>
      </c>
      <c r="BH8" s="42" t="str">
        <f t="shared" si="10"/>
        <v/>
      </c>
      <c r="BI8" s="42" t="str">
        <f t="shared" si="11"/>
        <v/>
      </c>
      <c r="BJ8" s="42" t="str">
        <f t="shared" si="12"/>
        <v/>
      </c>
      <c r="BK8" s="42" t="str">
        <f t="shared" si="13"/>
        <v/>
      </c>
      <c r="BN8" s="42">
        <f>INTERCEPT($AS8:AT8,$BC8:BD8)</f>
        <v>4.0791812460476251</v>
      </c>
      <c r="BO8" s="42">
        <f>INTERCEPT($AS8:AU8,$BC8:BE8)</f>
        <v>4.0745144997604203</v>
      </c>
      <c r="BP8" s="42">
        <f>INTERCEPT($AS8:AV8,$BC8:BF8)</f>
        <v>4.0745144997604203</v>
      </c>
      <c r="BQ8" s="42">
        <f>INTERCEPT($AS8:AW8,$BC8:BG8)</f>
        <v>4.0745144997604203</v>
      </c>
      <c r="BR8" s="42">
        <f>INTERCEPT($AS8:AX8,$BC8:BH8)</f>
        <v>4.0745144997604203</v>
      </c>
      <c r="BS8" s="42">
        <f>INTERCEPT($AS8:AY8,$BC8:BI8)</f>
        <v>4.0745144997604203</v>
      </c>
      <c r="BT8" s="42">
        <f>INTERCEPT($AS8:AZ8,$BC8:BJ8)</f>
        <v>4.0745144997604203</v>
      </c>
      <c r="BU8" s="42">
        <f>INTERCEPT($AS8:BA8,$BC8:BK8)</f>
        <v>4.0745144997604203</v>
      </c>
      <c r="BX8" s="42">
        <f t="shared" si="19"/>
        <v>-9.7818509317344107E-2</v>
      </c>
      <c r="BY8" s="42">
        <f t="shared" si="20"/>
        <v>-9.5818475194256417E-2</v>
      </c>
      <c r="BZ8" s="42" t="str">
        <f t="shared" si="24"/>
        <v/>
      </c>
      <c r="CA8" s="42" t="str">
        <f t="shared" si="25"/>
        <v/>
      </c>
      <c r="CB8" s="42" t="str">
        <f t="shared" si="26"/>
        <v/>
      </c>
      <c r="CC8" s="42" t="str">
        <f t="shared" si="21"/>
        <v/>
      </c>
      <c r="CD8" s="42" t="str">
        <f t="shared" si="22"/>
        <v/>
      </c>
      <c r="CE8" s="42" t="str">
        <f t="shared" si="23"/>
        <v/>
      </c>
      <c r="CH8" s="42">
        <f>IF(S8&gt;0,((4-BN8)/(SLOPE($AS8:AT8, $BC8:BD8))),"")</f>
        <v>0.80947099480676254</v>
      </c>
      <c r="CI8" s="42">
        <f>IF(T8&gt;0,((4-BO8)/(SLOPE($AS8:AU8, $BC8:BE8))),"")</f>
        <v>0.7776631762231061</v>
      </c>
      <c r="CJ8" s="42" t="str">
        <f>IF(U8&gt;0,((4-BP8)/(SLOPE($AS8:AV8, $BC8:BF8))),"")</f>
        <v/>
      </c>
      <c r="CK8" s="42" t="str">
        <f>IF(V8&gt;0,((4-BQ8)/(SLOPE($AS8:AW8, $BC8:BG8))),"")</f>
        <v/>
      </c>
      <c r="CL8" s="42" t="str">
        <f>IF(W8&gt;0,((4-BR8)/(SLOPE($AS8:AX8, $BC8:BH8))),"")</f>
        <v/>
      </c>
      <c r="CM8" s="42" t="str">
        <f>IF(X8&gt;0,((4-BS8)/(SLOPE($AS8:AY8, $BC8:BI8))),"")</f>
        <v/>
      </c>
      <c r="CN8" s="42" t="str">
        <f>IF(Y8&gt;0,((4-BT8)/(SLOPE($AS8:AZ8, $BC8:BJ8))),"")</f>
        <v/>
      </c>
      <c r="CO8" s="42" t="str">
        <f>IF(Z8&gt;0,((4-BU8)/(SLOPE($AS8:BA8, $BC8:BK8))),"")</f>
        <v/>
      </c>
    </row>
    <row r="9" spans="1:93">
      <c r="A9" s="42">
        <v>13</v>
      </c>
      <c r="B9" s="123" t="s">
        <v>585</v>
      </c>
      <c r="C9" s="46" t="s">
        <v>84</v>
      </c>
      <c r="D9" s="46" t="s">
        <v>85</v>
      </c>
      <c r="E9" s="45" t="s">
        <v>61</v>
      </c>
      <c r="F9" s="52" t="s">
        <v>54</v>
      </c>
      <c r="G9" s="52"/>
      <c r="H9" s="52" t="s">
        <v>38</v>
      </c>
      <c r="I9" s="52" t="s">
        <v>584</v>
      </c>
      <c r="J9" s="46" t="s">
        <v>544</v>
      </c>
      <c r="K9" s="46"/>
      <c r="L9" s="46"/>
      <c r="M9" s="72" cm="1">
        <f t="array" ref="M9">LOOKUP(2,1/(ISNUMBER(BX9:CE9)),BX9:CE9)</f>
        <v>-5.1246672145002288E-2</v>
      </c>
      <c r="N9" s="72" cm="1">
        <f t="array" ref="N9">LOOKUP(2,1/(ISNUMBER(CH9:CO9)),CH9:CO9)</f>
        <v>22.145284993758111</v>
      </c>
      <c r="O9" s="58">
        <v>2293333333.3333335</v>
      </c>
      <c r="P9" s="58">
        <v>427707064.86254466</v>
      </c>
      <c r="Q9" s="59">
        <f t="shared" si="0"/>
        <v>1.150028311252326</v>
      </c>
      <c r="R9" s="112">
        <v>144000</v>
      </c>
      <c r="S9" s="112">
        <v>53600</v>
      </c>
      <c r="T9" s="112">
        <v>27599.999999999996</v>
      </c>
      <c r="U9" s="121"/>
      <c r="V9" s="47"/>
      <c r="W9" s="47"/>
      <c r="X9" s="47"/>
      <c r="Y9" s="47"/>
      <c r="Z9" s="47"/>
      <c r="AA9" s="109">
        <v>34871.191548325391</v>
      </c>
      <c r="AB9" s="109" t="s">
        <v>587</v>
      </c>
      <c r="AC9" s="109">
        <v>2622.9754097208001</v>
      </c>
      <c r="AD9" s="122"/>
      <c r="AE9" s="47"/>
      <c r="AF9" s="47"/>
      <c r="AG9" s="47"/>
      <c r="AH9" s="47"/>
      <c r="AI9" s="47"/>
      <c r="AJ9" s="111">
        <v>44931</v>
      </c>
      <c r="AK9" s="111">
        <v>44938</v>
      </c>
      <c r="AL9" s="111">
        <v>44945</v>
      </c>
      <c r="AM9" s="111">
        <v>44952</v>
      </c>
      <c r="AN9" s="49">
        <v>44959</v>
      </c>
      <c r="AO9" s="117"/>
      <c r="AP9" s="117"/>
      <c r="AQ9" s="117"/>
      <c r="AR9" s="48"/>
      <c r="AS9" s="42">
        <f t="shared" si="1"/>
        <v>5.1583624920952493</v>
      </c>
      <c r="AT9" s="42">
        <f t="shared" si="2"/>
        <v>4.7291647896927698</v>
      </c>
      <c r="AU9" s="42">
        <f t="shared" si="3"/>
        <v>4.4409090820652173</v>
      </c>
      <c r="AV9" s="42" t="str">
        <f t="shared" si="4"/>
        <v/>
      </c>
      <c r="AW9" s="42" t="str">
        <f t="shared" si="5"/>
        <v/>
      </c>
      <c r="AX9" s="42" t="str">
        <f t="shared" si="8"/>
        <v/>
      </c>
      <c r="AY9" s="42" t="str">
        <f t="shared" si="6"/>
        <v/>
      </c>
      <c r="AZ9" s="42" t="str">
        <f t="shared" si="7"/>
        <v/>
      </c>
      <c r="BA9" s="42" t="str">
        <f t="shared" si="9"/>
        <v/>
      </c>
      <c r="BC9" s="42">
        <f t="shared" si="14"/>
        <v>0</v>
      </c>
      <c r="BD9" s="42">
        <f t="shared" si="15"/>
        <v>7</v>
      </c>
      <c r="BE9" s="42">
        <f t="shared" si="16"/>
        <v>14</v>
      </c>
      <c r="BF9" s="42">
        <f t="shared" si="17"/>
        <v>21</v>
      </c>
      <c r="BG9" s="42">
        <f t="shared" si="18"/>
        <v>28</v>
      </c>
      <c r="BH9" s="42" t="str">
        <f t="shared" si="10"/>
        <v/>
      </c>
      <c r="BI9" s="42" t="str">
        <f t="shared" si="11"/>
        <v/>
      </c>
      <c r="BJ9" s="42" t="str">
        <f t="shared" si="12"/>
        <v/>
      </c>
      <c r="BK9" s="42" t="str">
        <f t="shared" si="13"/>
        <v/>
      </c>
      <c r="BN9" s="42">
        <f>INTERCEPT($AS9:AT9,$BC9:BD9)</f>
        <v>5.1583624920952493</v>
      </c>
      <c r="BO9" s="42">
        <f>INTERCEPT($AS9:AU9,$BC9:BE9)</f>
        <v>5.1348721596327609</v>
      </c>
      <c r="BP9" s="42">
        <f>INTERCEPT($AS9:AV9,$BC9:BF9)</f>
        <v>5.1348721596327609</v>
      </c>
      <c r="BQ9" s="42">
        <f>INTERCEPT($AS9:AW9,$BC9:BG9)</f>
        <v>5.1348721596327609</v>
      </c>
      <c r="BR9" s="42">
        <f>INTERCEPT($AS9:AX9,$BC9:BH9)</f>
        <v>5.1348721596327609</v>
      </c>
      <c r="BS9" s="42">
        <f>INTERCEPT($AS9:AY9,$BC9:BI9)</f>
        <v>5.1348721596327609</v>
      </c>
      <c r="BT9" s="42">
        <f>INTERCEPT($AS9:AZ9,$BC9:BJ9)</f>
        <v>5.1348721596327609</v>
      </c>
      <c r="BU9" s="42">
        <f>INTERCEPT($AS9:BA9,$BC9:BK9)</f>
        <v>5.1348721596327609</v>
      </c>
      <c r="BX9" s="42">
        <f t="shared" si="19"/>
        <v>-6.1313957486068507E-2</v>
      </c>
      <c r="BY9" s="42">
        <f t="shared" si="20"/>
        <v>-5.1246672145002288E-2</v>
      </c>
      <c r="BZ9" s="42" t="str">
        <f t="shared" si="24"/>
        <v/>
      </c>
      <c r="CA9" s="42" t="str">
        <f t="shared" si="25"/>
        <v/>
      </c>
      <c r="CB9" s="42" t="str">
        <f t="shared" si="26"/>
        <v/>
      </c>
      <c r="CC9" s="42" t="str">
        <f t="shared" si="21"/>
        <v/>
      </c>
      <c r="CD9" s="42" t="str">
        <f t="shared" si="22"/>
        <v/>
      </c>
      <c r="CE9" s="42" t="str">
        <f t="shared" si="23"/>
        <v/>
      </c>
      <c r="CH9" s="42">
        <f>IF(S9&gt;0,((4-BN9)/(SLOPE($AS9:AT9, $BC9:BD9))),"")</f>
        <v>18.892313260947926</v>
      </c>
      <c r="CI9" s="42">
        <f>IF(T9&gt;0,((4-BO9)/(SLOPE($AS9:AU9, $BC9:BE9))),"")</f>
        <v>22.145284993758111</v>
      </c>
      <c r="CJ9" s="42" t="str">
        <f>IF(U9&gt;0,((4-BP9)/(SLOPE($AS9:AV9, $BC9:BF9))),"")</f>
        <v/>
      </c>
      <c r="CK9" s="42" t="str">
        <f>IF(V9&gt;0,((4-BQ9)/(SLOPE($AS9:AW9, $BC9:BG9))),"")</f>
        <v/>
      </c>
      <c r="CL9" s="42" t="str">
        <f>IF(W9&gt;0,((4-BR9)/(SLOPE($AS9:AX9, $BC9:BH9))),"")</f>
        <v/>
      </c>
      <c r="CM9" s="42" t="str">
        <f>IF(X9&gt;0,((4-BS9)/(SLOPE($AS9:AY9, $BC9:BI9))),"")</f>
        <v/>
      </c>
      <c r="CN9" s="42" t="str">
        <f>IF(Y9&gt;0,((4-BT9)/(SLOPE($AS9:AZ9, $BC9:BJ9))),"")</f>
        <v/>
      </c>
      <c r="CO9" s="42" t="str">
        <f>IF(Z9&gt;0,((4-BU9)/(SLOPE($AS9:BA9, $BC9:BK9))),"")</f>
        <v/>
      </c>
    </row>
    <row r="10" spans="1:93">
      <c r="A10" s="42">
        <v>14</v>
      </c>
      <c r="B10" s="123" t="s">
        <v>585</v>
      </c>
      <c r="C10" s="46" t="s">
        <v>87</v>
      </c>
      <c r="D10" s="46" t="s">
        <v>88</v>
      </c>
      <c r="E10" s="45" t="s">
        <v>35</v>
      </c>
      <c r="F10" s="52" t="s">
        <v>63</v>
      </c>
      <c r="G10" s="52"/>
      <c r="H10" s="52" t="s">
        <v>71</v>
      </c>
      <c r="I10" s="52" t="s">
        <v>586</v>
      </c>
      <c r="J10" s="46" t="s">
        <v>544</v>
      </c>
      <c r="K10" s="46"/>
      <c r="L10" s="46"/>
      <c r="M10" s="72" cm="1">
        <f t="array" ref="M10">LOOKUP(2,1/(ISNUMBER(BX10:CE10)),BX10:CE10)</f>
        <v>-2.5916809048790422E-2</v>
      </c>
      <c r="N10" s="72" cm="1">
        <f t="array" ref="N10">LOOKUP(2,1/(ISNUMBER(CH10:CO10)),CH10:CO10)</f>
        <v>85.000901304263948</v>
      </c>
      <c r="O10" s="58">
        <v>13066666666.666666</v>
      </c>
      <c r="P10" s="58">
        <v>3946306289.8529992</v>
      </c>
      <c r="Q10" s="59">
        <f t="shared" si="0"/>
        <v>0.90572594003727147</v>
      </c>
      <c r="R10" s="112">
        <v>1440000</v>
      </c>
      <c r="S10" s="112">
        <v>1040000</v>
      </c>
      <c r="T10" s="112">
        <v>537333.33333333326</v>
      </c>
      <c r="U10" s="121"/>
      <c r="V10" s="60">
        <v>544000</v>
      </c>
      <c r="W10" s="60">
        <v>42300</v>
      </c>
      <c r="X10" s="47"/>
      <c r="Y10" s="47"/>
      <c r="Z10" s="47"/>
      <c r="AA10" s="109">
        <v>471593.04490206379</v>
      </c>
      <c r="AB10" s="109" t="s">
        <v>587</v>
      </c>
      <c r="AC10" s="109">
        <v>43878.620458411555</v>
      </c>
      <c r="AD10" s="122"/>
      <c r="AE10" s="47"/>
      <c r="AF10" s="47"/>
      <c r="AG10" s="47"/>
      <c r="AH10" s="47"/>
      <c r="AI10" s="47"/>
      <c r="AJ10" s="111">
        <v>44931</v>
      </c>
      <c r="AK10" s="111">
        <v>44938</v>
      </c>
      <c r="AL10" s="111">
        <v>44945</v>
      </c>
      <c r="AM10" s="111">
        <v>44952</v>
      </c>
      <c r="AN10" s="61">
        <v>44959</v>
      </c>
      <c r="AO10" s="119">
        <v>44988</v>
      </c>
      <c r="AP10" s="117"/>
      <c r="AQ10" s="117"/>
      <c r="AR10" s="48"/>
      <c r="AS10" s="42">
        <f t="shared" si="1"/>
        <v>6.1583624920952493</v>
      </c>
      <c r="AT10" s="42">
        <f t="shared" si="2"/>
        <v>6.0170333392987807</v>
      </c>
      <c r="AU10" s="42">
        <f t="shared" si="3"/>
        <v>5.730243782749409</v>
      </c>
      <c r="AV10" s="42" t="str">
        <f t="shared" si="4"/>
        <v/>
      </c>
      <c r="AW10" s="42">
        <f t="shared" si="5"/>
        <v>5.7355988996981795</v>
      </c>
      <c r="AX10" s="42">
        <f t="shared" si="8"/>
        <v>4.6263403673750423</v>
      </c>
      <c r="AY10" s="42" t="str">
        <f t="shared" si="6"/>
        <v/>
      </c>
      <c r="AZ10" s="42" t="str">
        <f t="shared" si="7"/>
        <v/>
      </c>
      <c r="BA10" s="42" t="str">
        <f t="shared" si="9"/>
        <v/>
      </c>
      <c r="BC10" s="42">
        <f t="shared" si="14"/>
        <v>0</v>
      </c>
      <c r="BD10" s="42">
        <f t="shared" si="15"/>
        <v>7</v>
      </c>
      <c r="BE10" s="42">
        <f t="shared" si="16"/>
        <v>14</v>
      </c>
      <c r="BF10" s="42">
        <f t="shared" si="17"/>
        <v>21</v>
      </c>
      <c r="BG10" s="42">
        <f t="shared" si="18"/>
        <v>28</v>
      </c>
      <c r="BH10" s="42">
        <f t="shared" si="10"/>
        <v>57</v>
      </c>
      <c r="BI10" s="42" t="str">
        <f t="shared" si="11"/>
        <v/>
      </c>
      <c r="BJ10" s="42" t="str">
        <f t="shared" si="12"/>
        <v/>
      </c>
      <c r="BK10" s="42" t="str">
        <f t="shared" si="13"/>
        <v/>
      </c>
      <c r="BN10" s="42">
        <f>INTERCEPT($AS10:AT10,$BC10:BD10)</f>
        <v>6.1583624920952502</v>
      </c>
      <c r="BO10" s="42">
        <f>INTERCEPT($AS10:AU10,$BC10:BE10)</f>
        <v>6.1826058927207335</v>
      </c>
      <c r="BP10" s="42">
        <f>INTERCEPT($AS10:AV10,$BC10:BF10)</f>
        <v>6.1826058927207335</v>
      </c>
      <c r="BQ10" s="42">
        <f>INTERCEPT($AS10:AW10,$BC10:BG10)</f>
        <v>6.1007598075869076</v>
      </c>
      <c r="BR10" s="42">
        <f>INTERCEPT($AS10:AX10,$BC10:BH10)</f>
        <v>6.2029521280776896</v>
      </c>
      <c r="BS10" s="42">
        <f>INTERCEPT($AS10:AY10,$BC10:BI10)</f>
        <v>6.2029521280776896</v>
      </c>
      <c r="BT10" s="42">
        <f>INTERCEPT($AS10:AZ10,$BC10:BJ10)</f>
        <v>6.2029521280776896</v>
      </c>
      <c r="BU10" s="42">
        <f>INTERCEPT($AS10:BA10,$BC10:BK10)</f>
        <v>6.2029521280776896</v>
      </c>
      <c r="BX10" s="42">
        <f t="shared" si="19"/>
        <v>-2.0189878970924089E-2</v>
      </c>
      <c r="BY10" s="42">
        <f t="shared" si="20"/>
        <v>-3.0579907810417164E-2</v>
      </c>
      <c r="BZ10" s="42" t="str">
        <f t="shared" si="24"/>
        <v/>
      </c>
      <c r="CA10" s="42">
        <f t="shared" si="25"/>
        <v>-1.5546953398081889E-2</v>
      </c>
      <c r="CB10" s="42">
        <f t="shared" si="26"/>
        <v>-2.5916809048790422E-2</v>
      </c>
      <c r="CC10" s="42" t="str">
        <f t="shared" si="21"/>
        <v/>
      </c>
      <c r="CD10" s="42" t="str">
        <f t="shared" si="22"/>
        <v/>
      </c>
      <c r="CE10" s="42" t="str">
        <f t="shared" si="23"/>
        <v/>
      </c>
      <c r="CH10" s="42">
        <f>IF(S10&gt;0,((4-BN10)/(SLOPE($AS10:AT10, $BC10:BD10))),"")</f>
        <v>106.90319120800862</v>
      </c>
      <c r="CI10" s="42">
        <f>IF(T10&gt;0,((4-BO10)/(SLOPE($AS10:AU10, $BC10:BE10))),"")</f>
        <v>71.373854566599462</v>
      </c>
      <c r="CJ10" s="42" t="str">
        <f>IF(U10&gt;0,((4-BP10)/(SLOPE($AS10:AV10, $BC10:BF10))),"")</f>
        <v/>
      </c>
      <c r="CK10" s="42">
        <f>IF(V10&gt;0,((4-BQ10)/(SLOPE($AS10:AW10, $BC10:BG10))),"")</f>
        <v>135.1235675438565</v>
      </c>
      <c r="CL10" s="42">
        <f>IF(W10&gt;0,((4-BR10)/(SLOPE($AS10:AX10, $BC10:BH10))),"")</f>
        <v>85.000901304263948</v>
      </c>
      <c r="CM10" s="42" t="str">
        <f>IF(X10&gt;0,((4-BS10)/(SLOPE($AS10:AY10, $BC10:BI10))),"")</f>
        <v/>
      </c>
      <c r="CN10" s="42" t="str">
        <f>IF(Y10&gt;0,((4-BT10)/(SLOPE($AS10:AZ10, $BC10:BJ10))),"")</f>
        <v/>
      </c>
      <c r="CO10" s="42" t="str">
        <f>IF(Z10&gt;0,((4-BU10)/(SLOPE($AS10:BA10, $BC10:BK10))),"")</f>
        <v/>
      </c>
    </row>
    <row r="11" spans="1:93">
      <c r="A11" s="42">
        <v>16</v>
      </c>
      <c r="B11" s="123" t="s">
        <v>585</v>
      </c>
      <c r="C11" s="46" t="s">
        <v>90</v>
      </c>
      <c r="D11" s="46" t="s">
        <v>91</v>
      </c>
      <c r="E11" s="45" t="s">
        <v>35</v>
      </c>
      <c r="F11" s="52" t="s">
        <v>54</v>
      </c>
      <c r="G11" s="52"/>
      <c r="H11" s="52" t="s">
        <v>71</v>
      </c>
      <c r="I11" s="52" t="s">
        <v>586</v>
      </c>
      <c r="J11" s="46" t="s">
        <v>544</v>
      </c>
      <c r="K11" s="46"/>
      <c r="L11" s="46"/>
      <c r="M11" s="72" cm="1">
        <f t="array" ref="M11">LOOKUP(2,1/(ISNUMBER(BX11:CE11)),BX11:CE11)</f>
        <v>-2.8323117912659762E-2</v>
      </c>
      <c r="N11" s="72" cm="1">
        <f t="array" ref="N11">LOOKUP(2,1/(ISNUMBER(CH11:CO11)),CH11:CO11)</f>
        <v>75.804700685126178</v>
      </c>
      <c r="O11" s="58">
        <v>19100000000</v>
      </c>
      <c r="P11" s="58">
        <v>1890000000</v>
      </c>
      <c r="Q11" s="59">
        <f t="shared" si="0"/>
        <v>1.028471289078623</v>
      </c>
      <c r="R11" s="112">
        <v>1586666.6666666665</v>
      </c>
      <c r="S11" s="112">
        <v>1080000</v>
      </c>
      <c r="T11" s="112">
        <v>389333.33333333326</v>
      </c>
      <c r="U11" s="121"/>
      <c r="V11" s="60">
        <v>219000</v>
      </c>
      <c r="W11" s="60">
        <v>37000</v>
      </c>
      <c r="X11" s="47"/>
      <c r="Y11" s="47"/>
      <c r="Z11" s="47"/>
      <c r="AA11" s="109">
        <v>227449.6281230936</v>
      </c>
      <c r="AB11" s="109">
        <v>226274.16997969523</v>
      </c>
      <c r="AC11" s="109">
        <v>97351.596460116372</v>
      </c>
      <c r="AD11" s="122"/>
      <c r="AE11" s="47"/>
      <c r="AF11" s="47"/>
      <c r="AG11" s="47"/>
      <c r="AH11" s="47"/>
      <c r="AI11" s="47"/>
      <c r="AJ11" s="111">
        <v>44931</v>
      </c>
      <c r="AK11" s="111">
        <v>44938</v>
      </c>
      <c r="AL11" s="111">
        <v>44945</v>
      </c>
      <c r="AM11" s="111">
        <v>44952</v>
      </c>
      <c r="AN11" s="61">
        <v>44959</v>
      </c>
      <c r="AO11" s="119">
        <v>44988</v>
      </c>
      <c r="AP11" s="117"/>
      <c r="AQ11" s="117"/>
      <c r="AR11" s="48"/>
      <c r="AS11" s="42">
        <f t="shared" si="1"/>
        <v>6.2004856980008309</v>
      </c>
      <c r="AT11" s="42">
        <f t="shared" si="2"/>
        <v>6.0334237554869494</v>
      </c>
      <c r="AU11" s="42">
        <f t="shared" si="3"/>
        <v>5.5903215880567183</v>
      </c>
      <c r="AV11" s="42" t="str">
        <f t="shared" si="4"/>
        <v/>
      </c>
      <c r="AW11" s="42">
        <f t="shared" si="5"/>
        <v>5.3404441148401185</v>
      </c>
      <c r="AX11" s="42">
        <f t="shared" si="8"/>
        <v>4.568201724066995</v>
      </c>
      <c r="AY11" s="42" t="str">
        <f t="shared" si="6"/>
        <v/>
      </c>
      <c r="AZ11" s="42" t="str">
        <f t="shared" si="7"/>
        <v/>
      </c>
      <c r="BA11" s="42" t="str">
        <f t="shared" si="9"/>
        <v/>
      </c>
      <c r="BC11" s="42">
        <f t="shared" si="14"/>
        <v>0</v>
      </c>
      <c r="BD11" s="42">
        <f t="shared" si="15"/>
        <v>7</v>
      </c>
      <c r="BE11" s="42">
        <f t="shared" si="16"/>
        <v>14</v>
      </c>
      <c r="BF11" s="42">
        <f t="shared" si="17"/>
        <v>21</v>
      </c>
      <c r="BG11" s="42">
        <f t="shared" si="18"/>
        <v>28</v>
      </c>
      <c r="BH11" s="42">
        <f t="shared" si="10"/>
        <v>57</v>
      </c>
      <c r="BI11" s="42" t="str">
        <f t="shared" si="11"/>
        <v/>
      </c>
      <c r="BJ11" s="42" t="str">
        <f t="shared" si="12"/>
        <v/>
      </c>
      <c r="BK11" s="42" t="str">
        <f t="shared" si="13"/>
        <v/>
      </c>
      <c r="BN11" s="42">
        <f>INTERCEPT($AS11:AT11,$BC11:BD11)</f>
        <v>6.2004856980008309</v>
      </c>
      <c r="BO11" s="42">
        <f>INTERCEPT($AS11:AU11,$BC11:BE11)</f>
        <v>6.2464924021535548</v>
      </c>
      <c r="BP11" s="42">
        <f>INTERCEPT($AS11:AV11,$BC11:BF11)</f>
        <v>6.2464924021535548</v>
      </c>
      <c r="BQ11" s="42">
        <f>INTERCEPT($AS11:AW11,$BC11:BG11)</f>
        <v>6.1836364156385972</v>
      </c>
      <c r="BR11" s="42">
        <f>INTERCEPT($AS11:AX11,$BC11:BH11)</f>
        <v>6.1470254758387091</v>
      </c>
      <c r="BS11" s="42">
        <f>INTERCEPT($AS11:AY11,$BC11:BI11)</f>
        <v>6.1470254758387091</v>
      </c>
      <c r="BT11" s="42">
        <f>INTERCEPT($AS11:AZ11,$BC11:BJ11)</f>
        <v>6.1470254758387091</v>
      </c>
      <c r="BU11" s="42">
        <f>INTERCEPT($AS11:BA11,$BC11:BK11)</f>
        <v>6.1470254758387091</v>
      </c>
      <c r="BX11" s="42">
        <f t="shared" si="19"/>
        <v>-2.3865991787697358E-2</v>
      </c>
      <c r="BY11" s="42">
        <f t="shared" si="20"/>
        <v>-4.3583150710293762E-2</v>
      </c>
      <c r="BZ11" s="42" t="str">
        <f t="shared" si="24"/>
        <v/>
      </c>
      <c r="CA11" s="42">
        <f t="shared" si="25"/>
        <v>-3.2038173595301547E-2</v>
      </c>
      <c r="CB11" s="42">
        <f t="shared" si="26"/>
        <v>-2.8323117912659762E-2</v>
      </c>
      <c r="CC11" s="42" t="str">
        <f t="shared" si="21"/>
        <v/>
      </c>
      <c r="CD11" s="42" t="str">
        <f t="shared" si="22"/>
        <v/>
      </c>
      <c r="CE11" s="42" t="str">
        <f t="shared" si="23"/>
        <v/>
      </c>
      <c r="CH11" s="42">
        <f>IF(S11&gt;0,((4-BN11)/(SLOPE($AS11:AT11, $BC11:BD11))),"")</f>
        <v>92.201728617670767</v>
      </c>
      <c r="CI11" s="42">
        <f>IF(T11&gt;0,((4-BO11)/(SLOPE($AS11:AU11, $BC11:BE11))),"")</f>
        <v>51.544974733159052</v>
      </c>
      <c r="CJ11" s="42" t="str">
        <f>IF(U11&gt;0,((4-BP11)/(SLOPE($AS11:AV11, $BC11:BF11))),"")</f>
        <v/>
      </c>
      <c r="CK11" s="42">
        <f>IF(V11&gt;0,((4-BQ11)/(SLOPE($AS11:AW11, $BC11:BG11))),"")</f>
        <v>68.157331414136266</v>
      </c>
      <c r="CL11" s="42">
        <f>IF(W11&gt;0,((4-BR11)/(SLOPE($AS11:AX11, $BC11:BH11))),"")</f>
        <v>75.804700685126178</v>
      </c>
      <c r="CM11" s="42" t="str">
        <f>IF(X11&gt;0,((4-BS11)/(SLOPE($AS11:AY11, $BC11:BI11))),"")</f>
        <v/>
      </c>
      <c r="CN11" s="42" t="str">
        <f>IF(Y11&gt;0,((4-BT11)/(SLOPE($AS11:AZ11, $BC11:BJ11))),"")</f>
        <v/>
      </c>
      <c r="CO11" s="42" t="str">
        <f>IF(Z11&gt;0,((4-BU11)/(SLOPE($AS11:BA11, $BC11:BK11))),"")</f>
        <v/>
      </c>
    </row>
    <row r="12" spans="1:93">
      <c r="A12" s="42">
        <v>18</v>
      </c>
      <c r="B12" s="123" t="s">
        <v>585</v>
      </c>
      <c r="C12" s="46" t="s">
        <v>92</v>
      </c>
      <c r="D12" s="46" t="s">
        <v>93</v>
      </c>
      <c r="E12" s="45" t="s">
        <v>61</v>
      </c>
      <c r="F12" s="52" t="s">
        <v>63</v>
      </c>
      <c r="G12" s="52"/>
      <c r="H12" s="52" t="s">
        <v>71</v>
      </c>
      <c r="I12" s="52" t="s">
        <v>586</v>
      </c>
      <c r="J12" s="46" t="s">
        <v>544</v>
      </c>
      <c r="K12" s="46"/>
      <c r="L12" s="46"/>
      <c r="M12" s="72" cm="1">
        <f t="array" ref="M12">LOOKUP(2,1/(ISNUMBER(BX12:CE12)),BX12:CE12)</f>
        <v>-9.5970167596388933E-2</v>
      </c>
      <c r="N12" s="72" cm="1">
        <f t="array" ref="N12">LOOKUP(2,1/(ISNUMBER(CH12:CO12)),CH12:CO12)</f>
        <v>12.858113624435545</v>
      </c>
      <c r="O12" s="58">
        <v>3270000000</v>
      </c>
      <c r="P12" s="58">
        <v>345000000</v>
      </c>
      <c r="Q12" s="59">
        <f t="shared" si="0"/>
        <v>1.1614413768280309</v>
      </c>
      <c r="R12" s="112">
        <v>200000</v>
      </c>
      <c r="S12" s="112">
        <v>26800</v>
      </c>
      <c r="T12" s="112">
        <v>9066.6666666666642</v>
      </c>
      <c r="U12" s="121"/>
      <c r="V12" s="47">
        <v>3730</v>
      </c>
      <c r="W12" s="47"/>
      <c r="X12" s="47"/>
      <c r="Y12" s="47"/>
      <c r="Z12" s="47"/>
      <c r="AA12" s="109">
        <v>14422.205101855958</v>
      </c>
      <c r="AB12" s="109">
        <v>1131.3708498984761</v>
      </c>
      <c r="AC12" s="109">
        <v>1847.520861406804</v>
      </c>
      <c r="AD12" s="122"/>
      <c r="AE12" s="47"/>
      <c r="AF12" s="47"/>
      <c r="AG12" s="47"/>
      <c r="AH12" s="47"/>
      <c r="AI12" s="47"/>
      <c r="AJ12" s="111">
        <v>44931</v>
      </c>
      <c r="AK12" s="111">
        <v>44938</v>
      </c>
      <c r="AL12" s="111">
        <v>44945</v>
      </c>
      <c r="AM12" s="111">
        <v>44952</v>
      </c>
      <c r="AN12" s="49"/>
      <c r="AO12" s="117"/>
      <c r="AP12" s="117"/>
      <c r="AQ12" s="117"/>
      <c r="AR12" s="48"/>
      <c r="AS12" s="42">
        <f t="shared" si="1"/>
        <v>5.3010299956639813</v>
      </c>
      <c r="AT12" s="42">
        <f t="shared" si="2"/>
        <v>4.4281347940287885</v>
      </c>
      <c r="AU12" s="42">
        <f t="shared" si="3"/>
        <v>3.9574476493145361</v>
      </c>
      <c r="AV12" s="42" t="str">
        <f t="shared" si="4"/>
        <v/>
      </c>
      <c r="AW12" s="42">
        <f t="shared" si="5"/>
        <v>3.5717088318086878</v>
      </c>
      <c r="AX12" s="42" t="str">
        <f t="shared" si="8"/>
        <v/>
      </c>
      <c r="AY12" s="42" t="str">
        <f t="shared" si="6"/>
        <v/>
      </c>
      <c r="AZ12" s="42" t="str">
        <f t="shared" si="7"/>
        <v/>
      </c>
      <c r="BA12" s="42" t="str">
        <f t="shared" si="9"/>
        <v/>
      </c>
      <c r="BC12" s="42">
        <f t="shared" si="14"/>
        <v>0</v>
      </c>
      <c r="BD12" s="42">
        <f t="shared" si="15"/>
        <v>7</v>
      </c>
      <c r="BE12" s="42">
        <f t="shared" si="16"/>
        <v>14</v>
      </c>
      <c r="BF12" s="42">
        <f t="shared" si="17"/>
        <v>21</v>
      </c>
      <c r="BG12" s="42" t="str">
        <f t="shared" si="18"/>
        <v/>
      </c>
      <c r="BH12" s="42" t="str">
        <f t="shared" si="10"/>
        <v/>
      </c>
      <c r="BI12" s="42" t="str">
        <f t="shared" si="11"/>
        <v/>
      </c>
      <c r="BJ12" s="42" t="str">
        <f t="shared" si="12"/>
        <v/>
      </c>
      <c r="BK12" s="42" t="str">
        <f t="shared" si="13"/>
        <v/>
      </c>
      <c r="BN12" s="42">
        <f>INTERCEPT($AS12:AT12,$BC12:BD12)</f>
        <v>5.3010299956639813</v>
      </c>
      <c r="BO12" s="42">
        <f>INTERCEPT($AS12:AU12,$BC12:BE12)</f>
        <v>5.2339953195104911</v>
      </c>
      <c r="BP12" s="42">
        <f>INTERCEPT($AS12:AV12,$BC12:BF12)</f>
        <v>5.2339953195104911</v>
      </c>
      <c r="BQ12" s="42">
        <f>INTERCEPT($AS12:AW12,$BC12:BG12)</f>
        <v>5.2339953195104911</v>
      </c>
      <c r="BR12" s="42">
        <f>INTERCEPT($AS12:AX12,$BC12:BH12)</f>
        <v>5.2339953195104911</v>
      </c>
      <c r="BS12" s="42">
        <f>INTERCEPT($AS12:AY12,$BC12:BI12)</f>
        <v>5.2339953195104911</v>
      </c>
      <c r="BT12" s="42">
        <f>INTERCEPT($AS12:AZ12,$BC12:BJ12)</f>
        <v>5.2339953195104911</v>
      </c>
      <c r="BU12" s="42">
        <f>INTERCEPT($AS12:BA12,$BC12:BK12)</f>
        <v>5.2339953195104911</v>
      </c>
      <c r="BX12" s="42">
        <f t="shared" si="19"/>
        <v>-0.12469931451931325</v>
      </c>
      <c r="BY12" s="42">
        <f t="shared" si="20"/>
        <v>-9.5970167596388933E-2</v>
      </c>
      <c r="BZ12" s="42" t="str">
        <f t="shared" si="24"/>
        <v/>
      </c>
      <c r="CA12" s="42">
        <f t="shared" si="25"/>
        <v>-9.5970167596388933E-2</v>
      </c>
      <c r="CB12" s="42" t="str">
        <f t="shared" si="26"/>
        <v/>
      </c>
      <c r="CC12" s="42" t="str">
        <f t="shared" si="21"/>
        <v/>
      </c>
      <c r="CD12" s="42" t="str">
        <f t="shared" si="22"/>
        <v/>
      </c>
      <c r="CE12" s="42" t="str">
        <f t="shared" si="23"/>
        <v/>
      </c>
      <c r="CH12" s="42">
        <f>IF(S12&gt;0,((4-BN12)/(SLOPE($AS12:AT12, $BC12:BD12))),"")</f>
        <v>10.433337189375484</v>
      </c>
      <c r="CI12" s="42">
        <f>IF(T12&gt;0,((4-BO12)/(SLOPE($AS12:AU12, $BC12:BE12))),"")</f>
        <v>12.858113624435545</v>
      </c>
      <c r="CJ12" s="42" t="str">
        <f>IF(U12&gt;0,((4-BP12)/(SLOPE($AS12:AV12, $BC12:BF12))),"")</f>
        <v/>
      </c>
      <c r="CK12" s="42">
        <f>IF(V12&gt;0,((4-BQ12)/(SLOPE($AS12:AW12, $BC12:BG12))),"")</f>
        <v>12.858113624435545</v>
      </c>
      <c r="CL12" s="42" t="str">
        <f>IF(W12&gt;0,((4-BR12)/(SLOPE($AS12:AX12, $BC12:BH12))),"")</f>
        <v/>
      </c>
      <c r="CM12" s="42" t="str">
        <f>IF(X12&gt;0,((4-BS12)/(SLOPE($AS12:AY12, $BC12:BI12))),"")</f>
        <v/>
      </c>
      <c r="CN12" s="42" t="str">
        <f>IF(Y12&gt;0,((4-BT12)/(SLOPE($AS12:AZ12, $BC12:BJ12))),"")</f>
        <v/>
      </c>
      <c r="CO12" s="42" t="str">
        <f>IF(Z12&gt;0,((4-BU12)/(SLOPE($AS12:BA12, $BC12:BK12))),"")</f>
        <v/>
      </c>
    </row>
    <row r="13" spans="1:93">
      <c r="A13" s="42">
        <v>19</v>
      </c>
      <c r="B13" s="123" t="s">
        <v>588</v>
      </c>
      <c r="C13" s="46" t="s">
        <v>94</v>
      </c>
      <c r="D13" s="46" t="s">
        <v>95</v>
      </c>
      <c r="E13" s="45" t="s">
        <v>35</v>
      </c>
      <c r="F13" s="52" t="s">
        <v>54</v>
      </c>
      <c r="G13" s="52"/>
      <c r="H13" s="52" t="s">
        <v>99</v>
      </c>
      <c r="I13" s="52" t="s">
        <v>99</v>
      </c>
      <c r="J13" s="46" t="s">
        <v>544</v>
      </c>
      <c r="K13" s="46"/>
      <c r="L13" s="46"/>
      <c r="M13" s="72" cm="1">
        <f t="array" ref="M13">LOOKUP(2,1/(ISNUMBER(BX13:CE13)),BX13:CE13)</f>
        <v>-8.0187100197609912E-2</v>
      </c>
      <c r="N13" s="72" cm="1">
        <f t="array" ref="N13">LOOKUP(2,1/(ISNUMBER(CH13:CO13)),CH13:CO13)</f>
        <v>26.412611352140335</v>
      </c>
      <c r="O13" s="58">
        <v>13760000000</v>
      </c>
      <c r="P13" s="58">
        <v>1769519708.847573</v>
      </c>
      <c r="Q13" s="59">
        <f t="shared" si="0"/>
        <v>1.0982804570024634</v>
      </c>
      <c r="R13" s="112">
        <v>973333.33333333314</v>
      </c>
      <c r="S13" s="112">
        <v>473000</v>
      </c>
      <c r="T13" s="112">
        <v>70300</v>
      </c>
      <c r="U13" s="60">
        <v>78500</v>
      </c>
      <c r="V13" s="60">
        <v>3730</v>
      </c>
      <c r="W13" s="47"/>
      <c r="X13" s="47"/>
      <c r="Y13" s="47"/>
      <c r="Z13" s="47"/>
      <c r="AA13" s="109">
        <v>151437.55588800748</v>
      </c>
      <c r="AB13" s="109">
        <v>115954.01387331667</v>
      </c>
      <c r="AC13" s="109">
        <v>26172.759375605259</v>
      </c>
      <c r="AD13" s="47"/>
      <c r="AE13" s="47"/>
      <c r="AF13" s="47"/>
      <c r="AG13" s="47"/>
      <c r="AH13" s="47"/>
      <c r="AI13" s="47"/>
      <c r="AJ13" s="111">
        <v>44939</v>
      </c>
      <c r="AK13" s="111">
        <v>44946</v>
      </c>
      <c r="AL13" s="111">
        <v>44953</v>
      </c>
      <c r="AM13" s="61">
        <v>44960</v>
      </c>
      <c r="AN13" s="61">
        <v>44967</v>
      </c>
      <c r="AO13" s="117"/>
      <c r="AP13" s="117"/>
      <c r="AQ13" s="117"/>
      <c r="AR13" s="48"/>
      <c r="AS13" s="42">
        <f t="shared" si="1"/>
        <v>5.9882615967287558</v>
      </c>
      <c r="AT13" s="42">
        <f t="shared" si="2"/>
        <v>5.6748611407378116</v>
      </c>
      <c r="AU13" s="42">
        <f t="shared" si="3"/>
        <v>4.8469553250198238</v>
      </c>
      <c r="AV13" s="42">
        <f t="shared" si="4"/>
        <v>4.8948696567452528</v>
      </c>
      <c r="AW13" s="42">
        <f t="shared" si="5"/>
        <v>3.5717088318086878</v>
      </c>
      <c r="AX13" s="42" t="str">
        <f t="shared" si="8"/>
        <v/>
      </c>
      <c r="AY13" s="42" t="str">
        <f t="shared" si="6"/>
        <v/>
      </c>
      <c r="AZ13" s="42" t="str">
        <f t="shared" si="7"/>
        <v/>
      </c>
      <c r="BA13" s="42" t="str">
        <f t="shared" si="9"/>
        <v/>
      </c>
      <c r="BC13" s="42">
        <f t="shared" si="14"/>
        <v>0</v>
      </c>
      <c r="BD13" s="42">
        <f t="shared" si="15"/>
        <v>7</v>
      </c>
      <c r="BE13" s="42">
        <f t="shared" si="16"/>
        <v>14</v>
      </c>
      <c r="BF13" s="42">
        <f t="shared" si="17"/>
        <v>21</v>
      </c>
      <c r="BG13" s="42">
        <f t="shared" si="18"/>
        <v>28</v>
      </c>
      <c r="BH13" s="42" t="str">
        <f t="shared" si="10"/>
        <v/>
      </c>
      <c r="BI13" s="42" t="str">
        <f t="shared" si="11"/>
        <v/>
      </c>
      <c r="BJ13" s="42" t="str">
        <f t="shared" si="12"/>
        <v/>
      </c>
      <c r="BK13" s="42" t="str">
        <f t="shared" si="13"/>
        <v/>
      </c>
      <c r="BN13" s="42">
        <f>INTERCEPT($AS13:AT13,$BC13:BD13)</f>
        <v>5.9882615967287558</v>
      </c>
      <c r="BO13" s="42">
        <f>INTERCEPT($AS13:AU13,$BC13:BE13)</f>
        <v>6.0740124900165977</v>
      </c>
      <c r="BP13" s="42">
        <f>INTERCEPT($AS13:AV13,$BC13:BF13)</f>
        <v>5.967449175158186</v>
      </c>
      <c r="BQ13" s="42">
        <f>INTERCEPT($AS13:AW13,$BC13:BG13)</f>
        <v>6.117950712974606</v>
      </c>
      <c r="BR13" s="42">
        <f>INTERCEPT($AS13:AX13,$BC13:BH13)</f>
        <v>6.117950712974606</v>
      </c>
      <c r="BS13" s="42">
        <f>INTERCEPT($AS13:AY13,$BC13:BI13)</f>
        <v>6.117950712974606</v>
      </c>
      <c r="BT13" s="42">
        <f>INTERCEPT($AS13:AZ13,$BC13:BJ13)</f>
        <v>6.117950712974606</v>
      </c>
      <c r="BU13" s="42">
        <f>INTERCEPT($AS13:BA13,$BC13:BK13)</f>
        <v>6.117950712974606</v>
      </c>
      <c r="BX13" s="42">
        <f t="shared" si="19"/>
        <v>-4.4771493712992036E-2</v>
      </c>
      <c r="BY13" s="42">
        <f t="shared" si="20"/>
        <v>-8.1521876550638001E-2</v>
      </c>
      <c r="BZ13" s="42">
        <f t="shared" si="24"/>
        <v>-5.8686880509549955E-2</v>
      </c>
      <c r="CA13" s="42">
        <f t="shared" si="25"/>
        <v>-8.0187100197609912E-2</v>
      </c>
      <c r="CB13" s="42" t="str">
        <f t="shared" si="26"/>
        <v/>
      </c>
      <c r="CC13" s="42" t="str">
        <f t="shared" si="21"/>
        <v/>
      </c>
      <c r="CD13" s="42" t="str">
        <f t="shared" si="22"/>
        <v/>
      </c>
      <c r="CE13" s="42" t="str">
        <f t="shared" si="23"/>
        <v/>
      </c>
      <c r="CH13" s="42">
        <f>IF(S13&gt;0,((4-BN13)/(SLOPE($AS13:AT13, $BC13:BD13))),"")</f>
        <v>44.409096767566439</v>
      </c>
      <c r="CI13" s="42">
        <f>IF(T13&gt;0,((4-BO13)/(SLOPE($AS13:AU13, $BC13:BE13))),"")</f>
        <v>25.441176991654594</v>
      </c>
      <c r="CJ13" s="42">
        <f>IF(U13&gt;0,((4-BP13)/(SLOPE($AS13:AV13, $BC13:BF13))),"")</f>
        <v>33.52451447539503</v>
      </c>
      <c r="CK13" s="42">
        <f>IF(V13&gt;0,((4-BQ13)/(SLOPE($AS13:AW13, $BC13:BG13))),"")</f>
        <v>26.412611352140335</v>
      </c>
      <c r="CL13" s="42" t="str">
        <f>IF(W13&gt;0,((4-BR13)/(SLOPE($AS13:AX13, $BC13:BH13))),"")</f>
        <v/>
      </c>
      <c r="CM13" s="42" t="str">
        <f>IF(X13&gt;0,((4-BS13)/(SLOPE($AS13:AY13, $BC13:BI13))),"")</f>
        <v/>
      </c>
      <c r="CN13" s="42" t="str">
        <f>IF(Y13&gt;0,((4-BT13)/(SLOPE($AS13:AZ13, $BC13:BJ13))),"")</f>
        <v/>
      </c>
      <c r="CO13" s="42" t="str">
        <f>IF(Z13&gt;0,((4-BU13)/(SLOPE($AS13:BA13, $BC13:BK13))),"")</f>
        <v/>
      </c>
    </row>
    <row r="14" spans="1:93">
      <c r="A14" s="42">
        <v>20</v>
      </c>
      <c r="B14" s="123" t="s">
        <v>588</v>
      </c>
      <c r="C14" s="46" t="s">
        <v>101</v>
      </c>
      <c r="D14" s="46" t="s">
        <v>102</v>
      </c>
      <c r="E14" s="45" t="s">
        <v>35</v>
      </c>
      <c r="F14" s="52" t="s">
        <v>63</v>
      </c>
      <c r="G14" s="52"/>
      <c r="H14" s="52" t="s">
        <v>105</v>
      </c>
      <c r="I14" s="52" t="s">
        <v>105</v>
      </c>
      <c r="J14" s="46" t="s">
        <v>544</v>
      </c>
      <c r="K14" s="46"/>
      <c r="L14" s="46"/>
      <c r="M14" s="72" cm="1">
        <f t="array" ref="M14">LOOKUP(2,1/(ISNUMBER(BX14:CE14)),BX14:CE14)</f>
        <v>-2.9597243186004277E-2</v>
      </c>
      <c r="N14" s="72" cm="1">
        <f t="array" ref="N14">LOOKUP(2,1/(ISNUMBER(CH14:CO14)),CH14:CO14)</f>
        <v>69.269494590094141</v>
      </c>
      <c r="O14" s="58">
        <v>37733333333.333336</v>
      </c>
      <c r="P14" s="58">
        <v>3585154575.9330006</v>
      </c>
      <c r="Q14" s="59">
        <f t="shared" si="0"/>
        <v>1.0692962820068255</v>
      </c>
      <c r="R14" s="112">
        <v>2853333.333333333</v>
      </c>
      <c r="S14" s="112">
        <v>977000</v>
      </c>
      <c r="T14" s="112">
        <v>273000</v>
      </c>
      <c r="U14" s="60">
        <v>320000</v>
      </c>
      <c r="V14" s="60">
        <v>22800</v>
      </c>
      <c r="W14" s="60">
        <v>67200</v>
      </c>
      <c r="X14" s="47"/>
      <c r="Y14" s="47"/>
      <c r="Z14" s="47"/>
      <c r="AA14" s="109">
        <v>371662.92972710211</v>
      </c>
      <c r="AB14" s="109">
        <v>123698.55833166873</v>
      </c>
      <c r="AC14" s="109">
        <v>56615.663321499007</v>
      </c>
      <c r="AD14" s="47"/>
      <c r="AE14" s="47"/>
      <c r="AF14" s="47"/>
      <c r="AG14" s="47"/>
      <c r="AH14" s="47"/>
      <c r="AI14" s="47"/>
      <c r="AJ14" s="111">
        <v>44939</v>
      </c>
      <c r="AK14" s="111">
        <v>44946</v>
      </c>
      <c r="AL14" s="111">
        <v>44953</v>
      </c>
      <c r="AM14" s="61">
        <v>44960</v>
      </c>
      <c r="AN14" s="61">
        <v>44967</v>
      </c>
      <c r="AO14" s="119">
        <v>44995</v>
      </c>
      <c r="AP14" s="117"/>
      <c r="AQ14" s="117"/>
      <c r="AR14" s="48"/>
      <c r="AS14" s="42">
        <f t="shared" si="1"/>
        <v>6.4553525099574909</v>
      </c>
      <c r="AT14" s="42">
        <f t="shared" si="2"/>
        <v>5.9898945637187735</v>
      </c>
      <c r="AU14" s="42">
        <f t="shared" si="3"/>
        <v>5.4361626470407565</v>
      </c>
      <c r="AV14" s="42">
        <f t="shared" si="4"/>
        <v>5.5051499783199063</v>
      </c>
      <c r="AW14" s="42">
        <f t="shared" si="5"/>
        <v>4.357934847000454</v>
      </c>
      <c r="AX14" s="42">
        <f t="shared" si="8"/>
        <v>4.8273692730538249</v>
      </c>
      <c r="AY14" s="42" t="str">
        <f t="shared" si="6"/>
        <v/>
      </c>
      <c r="AZ14" s="42" t="str">
        <f t="shared" si="7"/>
        <v/>
      </c>
      <c r="BA14" s="42" t="str">
        <f t="shared" si="9"/>
        <v/>
      </c>
      <c r="BC14" s="42">
        <f t="shared" si="14"/>
        <v>0</v>
      </c>
      <c r="BD14" s="42">
        <f t="shared" si="15"/>
        <v>7</v>
      </c>
      <c r="BE14" s="42">
        <f t="shared" si="16"/>
        <v>14</v>
      </c>
      <c r="BF14" s="42">
        <f t="shared" si="17"/>
        <v>21</v>
      </c>
      <c r="BG14" s="42">
        <f t="shared" si="18"/>
        <v>28</v>
      </c>
      <c r="BH14" s="42">
        <f t="shared" si="10"/>
        <v>56</v>
      </c>
      <c r="BI14" s="42" t="str">
        <f t="shared" si="11"/>
        <v/>
      </c>
      <c r="BJ14" s="42" t="str">
        <f t="shared" si="12"/>
        <v/>
      </c>
      <c r="BK14" s="42" t="str">
        <f t="shared" si="13"/>
        <v/>
      </c>
      <c r="BN14" s="42">
        <f>INTERCEPT($AS14:AT14,$BC14:BD14)</f>
        <v>6.4553525099574909</v>
      </c>
      <c r="BO14" s="42">
        <f>INTERCEPT($AS14:AU14,$BC14:BE14)</f>
        <v>6.4700648383640402</v>
      </c>
      <c r="BP14" s="42">
        <f>INTERCEPT($AS14:AV14,$BC14:BF14)</f>
        <v>6.3572908514978472</v>
      </c>
      <c r="BQ14" s="42">
        <f>INTERCEPT($AS14:AW14,$BC14:BG14)</f>
        <v>6.4848148914700641</v>
      </c>
      <c r="BR14" s="42">
        <f>INTERCEPT($AS14:AX14,$BC14:BH14)</f>
        <v>6.0501860767546241</v>
      </c>
      <c r="BS14" s="42">
        <f>INTERCEPT($AS14:AY14,$BC14:BI14)</f>
        <v>6.0501860767546241</v>
      </c>
      <c r="BT14" s="42">
        <f>INTERCEPT($AS14:AZ14,$BC14:BJ14)</f>
        <v>6.0501860767546241</v>
      </c>
      <c r="BU14" s="42">
        <f>INTERCEPT($AS14:BA14,$BC14:BK14)</f>
        <v>6.0501860767546241</v>
      </c>
      <c r="BX14" s="42">
        <f t="shared" si="19"/>
        <v>-6.6493992319816772E-2</v>
      </c>
      <c r="BY14" s="42">
        <f t="shared" si="20"/>
        <v>-7.2799275922623891E-2</v>
      </c>
      <c r="BZ14" s="42">
        <f t="shared" si="24"/>
        <v>-4.8633421594153861E-2</v>
      </c>
      <c r="CA14" s="42">
        <f t="shared" si="25"/>
        <v>-6.6851141590184876E-2</v>
      </c>
      <c r="CB14" s="42">
        <f t="shared" si="26"/>
        <v>-2.9597243186004277E-2</v>
      </c>
      <c r="CC14" s="42" t="str">
        <f t="shared" si="21"/>
        <v/>
      </c>
      <c r="CD14" s="42" t="str">
        <f t="shared" si="22"/>
        <v/>
      </c>
      <c r="CE14" s="42" t="str">
        <f t="shared" si="23"/>
        <v/>
      </c>
      <c r="CH14" s="42">
        <f>IF(S14&gt;0,((4-BN14)/(SLOPE($AS14:AT14, $BC14:BD14))),"")</f>
        <v>36.925930062192073</v>
      </c>
      <c r="CI14" s="42">
        <f>IF(T14&gt;0,((4-BO14)/(SLOPE($AS14:AU14, $BC14:BE14))),"")</f>
        <v>33.929799535223346</v>
      </c>
      <c r="CJ14" s="42">
        <f>IF(U14&gt;0,((4-BP14)/(SLOPE($AS14:AV14, $BC14:BF14))),"")</f>
        <v>48.470594381975644</v>
      </c>
      <c r="CK14" s="42">
        <f>IF(V14&gt;0,((4-BQ14)/(SLOPE($AS14:AW14, $BC14:BG14))),"")</f>
        <v>37.169371118636008</v>
      </c>
      <c r="CL14" s="42">
        <f>IF(W14&gt;0,((4-BR14)/(SLOPE($AS14:AX14, $BC14:BH14))),"")</f>
        <v>69.269494590094141</v>
      </c>
      <c r="CM14" s="42" t="str">
        <f>IF(X14&gt;0,((4-BS14)/(SLOPE($AS14:AY14, $BC14:BI14))),"")</f>
        <v/>
      </c>
      <c r="CN14" s="42" t="str">
        <f>IF(Y14&gt;0,((4-BT14)/(SLOPE($AS14:AZ14, $BC14:BJ14))),"")</f>
        <v/>
      </c>
      <c r="CO14" s="42" t="str">
        <f>IF(Z14&gt;0,((4-BU14)/(SLOPE($AS14:BA14, $BC14:BK14))),"")</f>
        <v/>
      </c>
    </row>
    <row r="15" spans="1:93" ht="32">
      <c r="A15" s="42">
        <v>23</v>
      </c>
      <c r="B15" s="123" t="s">
        <v>588</v>
      </c>
      <c r="C15" s="46" t="s">
        <v>107</v>
      </c>
      <c r="D15" s="46" t="s">
        <v>108</v>
      </c>
      <c r="E15" s="45" t="s">
        <v>61</v>
      </c>
      <c r="F15" s="52" t="s">
        <v>63</v>
      </c>
      <c r="G15" s="52"/>
      <c r="H15" s="54" t="s">
        <v>110</v>
      </c>
      <c r="I15" s="54" t="s">
        <v>457</v>
      </c>
      <c r="J15" s="46" t="s">
        <v>544</v>
      </c>
      <c r="K15" s="46"/>
      <c r="L15" s="46"/>
      <c r="M15" s="72" cm="1">
        <f t="array" ref="M15">LOOKUP(2,1/(ISNUMBER(BX15:CE15)),BX15:CE15)</f>
        <v>-1.8720285197697365E-2</v>
      </c>
      <c r="N15" s="72" cm="1">
        <f t="array" ref="N15">LOOKUP(2,1/(ISNUMBER(CH15:CO15)),CH15:CO15)</f>
        <v>73.460620463599099</v>
      </c>
      <c r="O15" s="58">
        <v>4213333333.3333335</v>
      </c>
      <c r="P15" s="58">
        <v>750821772.01605701</v>
      </c>
      <c r="Q15" s="59">
        <f t="shared" si="0"/>
        <v>1.0673994607385238</v>
      </c>
      <c r="R15" s="112">
        <v>319999.99999999994</v>
      </c>
      <c r="S15" s="112">
        <v>195000</v>
      </c>
      <c r="T15" s="112">
        <v>89300</v>
      </c>
      <c r="U15" s="60">
        <v>69300</v>
      </c>
      <c r="V15" s="60">
        <v>85300</v>
      </c>
      <c r="W15" s="60">
        <v>23700</v>
      </c>
      <c r="X15" s="47"/>
      <c r="Y15" s="47"/>
      <c r="Z15" s="47"/>
      <c r="AA15" s="109">
        <v>46130.25037868318</v>
      </c>
      <c r="AB15" s="109">
        <v>33306.655991458152</v>
      </c>
      <c r="AC15" s="109">
        <v>16653.32799572908</v>
      </c>
      <c r="AD15" s="47"/>
      <c r="AE15" s="47"/>
      <c r="AF15" s="47"/>
      <c r="AG15" s="47"/>
      <c r="AH15" s="47"/>
      <c r="AI15" s="47"/>
      <c r="AJ15" s="111">
        <v>44939</v>
      </c>
      <c r="AK15" s="111">
        <v>44946</v>
      </c>
      <c r="AL15" s="111">
        <v>44953</v>
      </c>
      <c r="AM15" s="61">
        <v>44960</v>
      </c>
      <c r="AN15" s="61">
        <v>44967</v>
      </c>
      <c r="AO15" s="119">
        <v>44995</v>
      </c>
      <c r="AP15" s="117"/>
      <c r="AQ15" s="117"/>
      <c r="AR15" s="48"/>
      <c r="AS15" s="42">
        <f t="shared" si="1"/>
        <v>5.5051499783199063</v>
      </c>
      <c r="AT15" s="42">
        <f t="shared" si="2"/>
        <v>5.2900346113625183</v>
      </c>
      <c r="AU15" s="42">
        <f t="shared" si="3"/>
        <v>4.9508514588885468</v>
      </c>
      <c r="AV15" s="42">
        <f t="shared" si="4"/>
        <v>4.8407332346118066</v>
      </c>
      <c r="AW15" s="42">
        <f t="shared" si="5"/>
        <v>4.9309490311675228</v>
      </c>
      <c r="AX15" s="42">
        <f t="shared" si="8"/>
        <v>4.3747483460101035</v>
      </c>
      <c r="AY15" s="42" t="str">
        <f t="shared" si="6"/>
        <v/>
      </c>
      <c r="AZ15" s="42" t="str">
        <f t="shared" si="7"/>
        <v/>
      </c>
      <c r="BA15" s="42" t="str">
        <f t="shared" si="9"/>
        <v/>
      </c>
      <c r="BC15" s="42">
        <f t="shared" si="14"/>
        <v>0</v>
      </c>
      <c r="BD15" s="42">
        <f t="shared" si="15"/>
        <v>7</v>
      </c>
      <c r="BE15" s="42">
        <f t="shared" si="16"/>
        <v>14</v>
      </c>
      <c r="BF15" s="42">
        <f t="shared" si="17"/>
        <v>21</v>
      </c>
      <c r="BG15" s="42">
        <f t="shared" si="18"/>
        <v>28</v>
      </c>
      <c r="BH15" s="42">
        <f t="shared" si="10"/>
        <v>56</v>
      </c>
      <c r="BI15" s="42" t="str">
        <f t="shared" si="11"/>
        <v/>
      </c>
      <c r="BJ15" s="42" t="str">
        <f t="shared" si="12"/>
        <v/>
      </c>
      <c r="BK15" s="42" t="str">
        <f t="shared" si="13"/>
        <v/>
      </c>
      <c r="BN15" s="42">
        <f>INTERCEPT($AS15:AT15,$BC15:BD15)</f>
        <v>5.5051499783199063</v>
      </c>
      <c r="BO15" s="42">
        <f>INTERCEPT($AS15:AU15,$BC15:BE15)</f>
        <v>5.5258279425726702</v>
      </c>
      <c r="BP15" s="42">
        <f>INTERCEPT($AS15:AV15,$BC15:BF15)</f>
        <v>5.4965573283354354</v>
      </c>
      <c r="BQ15" s="42">
        <f>INTERCEPT($AS15:AW15,$BC15:BG15)</f>
        <v>5.4230843170811562</v>
      </c>
      <c r="BR15" s="42">
        <f>INTERCEPT($AS15:AX15,$BC15:BH15)</f>
        <v>5.3752037658783784</v>
      </c>
      <c r="BS15" s="42">
        <f>INTERCEPT($AS15:AY15,$BC15:BI15)</f>
        <v>5.3752037658783784</v>
      </c>
      <c r="BT15" s="42">
        <f>INTERCEPT($AS15:AZ15,$BC15:BJ15)</f>
        <v>5.3752037658783784</v>
      </c>
      <c r="BU15" s="42">
        <f>INTERCEPT($AS15:BA15,$BC15:BK15)</f>
        <v>5.3752037658783784</v>
      </c>
      <c r="BX15" s="42">
        <f t="shared" si="19"/>
        <v>-3.0730766708198281E-2</v>
      </c>
      <c r="BY15" s="42">
        <f t="shared" si="20"/>
        <v>-3.9592751387954248E-2</v>
      </c>
      <c r="BZ15" s="42">
        <f t="shared" si="24"/>
        <v>-3.3320476908546719E-2</v>
      </c>
      <c r="CA15" s="42">
        <f t="shared" si="25"/>
        <v>-2.2824332443649693E-2</v>
      </c>
      <c r="CB15" s="42">
        <f t="shared" si="26"/>
        <v>-1.8720285197697365E-2</v>
      </c>
      <c r="CC15" s="42" t="str">
        <f t="shared" si="21"/>
        <v/>
      </c>
      <c r="CD15" s="42" t="str">
        <f t="shared" si="22"/>
        <v/>
      </c>
      <c r="CE15" s="42" t="str">
        <f t="shared" si="23"/>
        <v/>
      </c>
      <c r="CH15" s="42">
        <f>IF(S15&gt;0,((4-BN15)/(SLOPE($AS15:AT15, $BC15:BD15))),"")</f>
        <v>48.978601562790359</v>
      </c>
      <c r="CI15" s="42">
        <f>IF(T15&gt;0,((4-BO15)/(SLOPE($AS15:AU15, $BC15:BE15))),"")</f>
        <v>38.53806287978486</v>
      </c>
      <c r="CJ15" s="42">
        <f>IF(U15&gt;0,((4-BP15)/(SLOPE($AS15:AV15, $BC15:BF15))),"")</f>
        <v>44.914042870483875</v>
      </c>
      <c r="CK15" s="42">
        <f>IF(V15&gt;0,((4-BQ15)/(SLOPE($AS15:AW15, $BC15:BG15))),"")</f>
        <v>62.349438722668722</v>
      </c>
      <c r="CL15" s="42">
        <f>IF(W15&gt;0,((4-BR15)/(SLOPE($AS15:AX15, $BC15:BH15))),"")</f>
        <v>73.460620463599099</v>
      </c>
      <c r="CM15" s="42" t="str">
        <f>IF(X15&gt;0,((4-BS15)/(SLOPE($AS15:AY15, $BC15:BI15))),"")</f>
        <v/>
      </c>
      <c r="CN15" s="42" t="str">
        <f>IF(Y15&gt;0,((4-BT15)/(SLOPE($AS15:AZ15, $BC15:BJ15))),"")</f>
        <v/>
      </c>
      <c r="CO15" s="42" t="str">
        <f>IF(Z15&gt;0,((4-BU15)/(SLOPE($AS15:BA15, $BC15:BK15))),"")</f>
        <v/>
      </c>
    </row>
    <row r="16" spans="1:93">
      <c r="A16" s="42">
        <v>28</v>
      </c>
      <c r="B16" s="123" t="s">
        <v>588</v>
      </c>
      <c r="C16" s="46" t="s">
        <v>112</v>
      </c>
      <c r="D16" s="46" t="s">
        <v>113</v>
      </c>
      <c r="E16" s="45" t="s">
        <v>35</v>
      </c>
      <c r="F16" s="52" t="s">
        <v>54</v>
      </c>
      <c r="G16" s="52"/>
      <c r="H16" s="52" t="s">
        <v>105</v>
      </c>
      <c r="I16" s="52" t="s">
        <v>105</v>
      </c>
      <c r="J16" s="46" t="s">
        <v>544</v>
      </c>
      <c r="K16" s="46"/>
      <c r="L16" s="46"/>
      <c r="M16" s="72" cm="1">
        <f t="array" ref="M16">LOOKUP(2,1/(ISNUMBER(BX16:CE16)),BX16:CE16)</f>
        <v>-3.1061919363776756E-2</v>
      </c>
      <c r="N16" s="72" cm="1">
        <f t="array" ref="N16">LOOKUP(2,1/(ISNUMBER(CH16:CO16)),CH16:CO16)</f>
        <v>67.231979019268607</v>
      </c>
      <c r="O16" s="58">
        <v>18400000000</v>
      </c>
      <c r="P16" s="58">
        <v>2227105745.1320086</v>
      </c>
      <c r="Q16" s="59">
        <f t="shared" si="0"/>
        <v>0.82535161650253297</v>
      </c>
      <c r="R16" s="112">
        <v>2439999.9999999995</v>
      </c>
      <c r="S16" s="112">
        <v>939000</v>
      </c>
      <c r="T16" s="112">
        <v>311000</v>
      </c>
      <c r="U16" s="60">
        <v>357000</v>
      </c>
      <c r="V16" s="60">
        <v>34500</v>
      </c>
      <c r="W16" s="60">
        <v>47100</v>
      </c>
      <c r="X16" s="47"/>
      <c r="Y16" s="47"/>
      <c r="Z16" s="47"/>
      <c r="AA16" s="109">
        <v>222710.57451320085</v>
      </c>
      <c r="AB16" s="109">
        <v>118681.64699452589</v>
      </c>
      <c r="AC16" s="109">
        <v>46188.02153517017</v>
      </c>
      <c r="AD16" s="47"/>
      <c r="AE16" s="47"/>
      <c r="AF16" s="47"/>
      <c r="AG16" s="47"/>
      <c r="AH16" s="47"/>
      <c r="AI16" s="47"/>
      <c r="AJ16" s="111">
        <v>44939</v>
      </c>
      <c r="AK16" s="111">
        <v>44946</v>
      </c>
      <c r="AL16" s="111">
        <v>44953</v>
      </c>
      <c r="AM16" s="61">
        <v>44960</v>
      </c>
      <c r="AN16" s="61">
        <v>44967</v>
      </c>
      <c r="AO16" s="119">
        <v>44995</v>
      </c>
      <c r="AP16" s="117"/>
      <c r="AQ16" s="117"/>
      <c r="AR16" s="48"/>
      <c r="AS16" s="42">
        <f t="shared" si="1"/>
        <v>6.3873898263387296</v>
      </c>
      <c r="AT16" s="42">
        <f t="shared" si="2"/>
        <v>5.9726655922661109</v>
      </c>
      <c r="AU16" s="42">
        <f t="shared" si="3"/>
        <v>5.4927603890268379</v>
      </c>
      <c r="AV16" s="42">
        <f t="shared" si="4"/>
        <v>5.5526682161121936</v>
      </c>
      <c r="AW16" s="42">
        <f t="shared" si="5"/>
        <v>4.5378190950732744</v>
      </c>
      <c r="AX16" s="42">
        <f t="shared" si="8"/>
        <v>4.6730209071288966</v>
      </c>
      <c r="AY16" s="42" t="str">
        <f t="shared" si="6"/>
        <v/>
      </c>
      <c r="AZ16" s="42" t="str">
        <f t="shared" si="7"/>
        <v/>
      </c>
      <c r="BA16" s="42" t="str">
        <f t="shared" si="9"/>
        <v/>
      </c>
      <c r="BC16" s="42">
        <f t="shared" si="14"/>
        <v>0</v>
      </c>
      <c r="BD16" s="42">
        <f t="shared" si="15"/>
        <v>7</v>
      </c>
      <c r="BE16" s="42">
        <f t="shared" si="16"/>
        <v>14</v>
      </c>
      <c r="BF16" s="42">
        <f t="shared" si="17"/>
        <v>21</v>
      </c>
      <c r="BG16" s="42">
        <f t="shared" si="18"/>
        <v>28</v>
      </c>
      <c r="BH16" s="42">
        <f t="shared" si="10"/>
        <v>56</v>
      </c>
      <c r="BI16" s="42" t="str">
        <f t="shared" si="11"/>
        <v/>
      </c>
      <c r="BJ16" s="42" t="str">
        <f t="shared" si="12"/>
        <v/>
      </c>
      <c r="BK16" s="42" t="str">
        <f t="shared" si="13"/>
        <v/>
      </c>
      <c r="BN16" s="42">
        <f>INTERCEPT($AS16:AT16,$BC16:BD16)</f>
        <v>6.3873898263387296</v>
      </c>
      <c r="BO16" s="42">
        <f>INTERCEPT($AS16:AU16,$BC16:BE16)</f>
        <v>6.3982533211998387</v>
      </c>
      <c r="BP16" s="42">
        <f>INTERCEPT($AS16:AV16,$BC16:BF16)</f>
        <v>6.2989815110238006</v>
      </c>
      <c r="BQ16" s="42">
        <f>INTERCEPT($AS16:AW16,$BC16:BG16)</f>
        <v>6.4124883915003945</v>
      </c>
      <c r="BR16" s="42">
        <f>INTERCEPT($AS16:AX16,$BC16:BH16)</f>
        <v>6.088354310963652</v>
      </c>
      <c r="BS16" s="42">
        <f>INTERCEPT($AS16:AY16,$BC16:BI16)</f>
        <v>6.088354310963652</v>
      </c>
      <c r="BT16" s="42">
        <f>INTERCEPT($AS16:AZ16,$BC16:BJ16)</f>
        <v>6.088354310963652</v>
      </c>
      <c r="BU16" s="42">
        <f>INTERCEPT($AS16:BA16,$BC16:BK16)</f>
        <v>6.088354310963652</v>
      </c>
      <c r="BX16" s="42">
        <f t="shared" si="19"/>
        <v>-5.9246319153231246E-2</v>
      </c>
      <c r="BY16" s="42">
        <f t="shared" si="20"/>
        <v>-6.3902102665135116E-2</v>
      </c>
      <c r="BZ16" s="42">
        <f t="shared" si="24"/>
        <v>-4.2629571913126871E-2</v>
      </c>
      <c r="CA16" s="42">
        <f t="shared" si="25"/>
        <v>-5.8844840552640401E-2</v>
      </c>
      <c r="CB16" s="42">
        <f t="shared" si="26"/>
        <v>-3.1061919363776756E-2</v>
      </c>
      <c r="CC16" s="42" t="str">
        <f t="shared" si="21"/>
        <v/>
      </c>
      <c r="CD16" s="42" t="str">
        <f t="shared" si="22"/>
        <v/>
      </c>
      <c r="CE16" s="42" t="str">
        <f t="shared" si="23"/>
        <v/>
      </c>
      <c r="CH16" s="42">
        <f>IF(S16&gt;0,((4-BN16)/(SLOPE($AS16:AT16, $BC16:BD16))),"")</f>
        <v>40.296002527416476</v>
      </c>
      <c r="CI16" s="42">
        <f>IF(T16&gt;0,((4-BO16)/(SLOPE($AS16:AU16, $BC16:BE16))),"")</f>
        <v>37.530115930102589</v>
      </c>
      <c r="CJ16" s="42">
        <f>IF(U16&gt;0,((4-BP16)/(SLOPE($AS16:AV16, $BC16:BF16))),"")</f>
        <v>53.929265715095724</v>
      </c>
      <c r="CK16" s="42">
        <f>IF(V16&gt;0,((4-BQ16)/(SLOPE($AS16:AW16, $BC16:BG16))),"")</f>
        <v>40.997449714257826</v>
      </c>
      <c r="CL16" s="42">
        <f>IF(W16&gt;0,((4-BR16)/(SLOPE($AS16:AX16, $BC16:BH16))),"")</f>
        <v>67.231979019268607</v>
      </c>
      <c r="CM16" s="42" t="str">
        <f>IF(X16&gt;0,((4-BS16)/(SLOPE($AS16:AY16, $BC16:BI16))),"")</f>
        <v/>
      </c>
      <c r="CN16" s="42" t="str">
        <f>IF(Y16&gt;0,((4-BT16)/(SLOPE($AS16:AZ16, $BC16:BJ16))),"")</f>
        <v/>
      </c>
      <c r="CO16" s="42" t="str">
        <f>IF(Z16&gt;0,((4-BU16)/(SLOPE($AS16:BA16, $BC16:BK16))),"")</f>
        <v/>
      </c>
    </row>
    <row r="17" spans="1:93" ht="32">
      <c r="A17" s="42">
        <v>29</v>
      </c>
      <c r="B17" s="123" t="s">
        <v>588</v>
      </c>
      <c r="C17" s="46" t="s">
        <v>115</v>
      </c>
      <c r="D17" s="46" t="s">
        <v>116</v>
      </c>
      <c r="E17" s="45" t="s">
        <v>61</v>
      </c>
      <c r="F17" s="52" t="s">
        <v>54</v>
      </c>
      <c r="G17" s="52"/>
      <c r="H17" s="54" t="s">
        <v>110</v>
      </c>
      <c r="I17" s="54" t="s">
        <v>457</v>
      </c>
      <c r="J17" s="46" t="s">
        <v>544</v>
      </c>
      <c r="K17" s="46"/>
      <c r="L17" s="46"/>
      <c r="M17" s="72" cm="1">
        <f t="array" ref="M17">LOOKUP(2,1/(ISNUMBER(BX17:CE17)),BX17:CE17)</f>
        <v>-3.1880084430056702E-2</v>
      </c>
      <c r="N17" s="72" cm="1">
        <f t="array" ref="N17">LOOKUP(2,1/(ISNUMBER(CH17:CO17)),CH17:CO17)</f>
        <v>54.539140570462429</v>
      </c>
      <c r="O17" s="58">
        <v>6266666666.666667</v>
      </c>
      <c r="P17" s="58">
        <v>635400136.39700568</v>
      </c>
      <c r="Q17" s="59">
        <f t="shared" si="0"/>
        <v>0.95256852487749022</v>
      </c>
      <c r="R17" s="112">
        <v>619999.99999999988</v>
      </c>
      <c r="S17" s="112">
        <v>459000</v>
      </c>
      <c r="T17" s="112">
        <v>119000</v>
      </c>
      <c r="U17" s="60">
        <v>70700</v>
      </c>
      <c r="V17" s="60">
        <v>121000</v>
      </c>
      <c r="W17" s="47"/>
      <c r="X17" s="47"/>
      <c r="Y17" s="47"/>
      <c r="Z17" s="47"/>
      <c r="AA17" s="109">
        <v>90421.236443658505</v>
      </c>
      <c r="AB17" s="109">
        <v>50013.331556029472</v>
      </c>
      <c r="AC17" s="109">
        <v>22744.962812309281</v>
      </c>
      <c r="AD17" s="47"/>
      <c r="AE17" s="47"/>
      <c r="AF17" s="47"/>
      <c r="AG17" s="47"/>
      <c r="AH17" s="47"/>
      <c r="AI17" s="47"/>
      <c r="AJ17" s="111">
        <v>44939</v>
      </c>
      <c r="AK17" s="111">
        <v>44946</v>
      </c>
      <c r="AL17" s="111">
        <v>44953</v>
      </c>
      <c r="AM17" s="61">
        <v>44960</v>
      </c>
      <c r="AN17" s="61">
        <v>44967</v>
      </c>
      <c r="AO17" s="117"/>
      <c r="AP17" s="117"/>
      <c r="AQ17" s="117"/>
      <c r="AR17" s="48"/>
      <c r="AS17" s="42">
        <f t="shared" si="1"/>
        <v>5.7923916894982534</v>
      </c>
      <c r="AT17" s="42">
        <f t="shared" si="2"/>
        <v>5.661812685537261</v>
      </c>
      <c r="AU17" s="42">
        <f t="shared" si="3"/>
        <v>5.075546961392531</v>
      </c>
      <c r="AV17" s="42">
        <f t="shared" si="4"/>
        <v>4.8494194137968991</v>
      </c>
      <c r="AW17" s="42">
        <f t="shared" si="5"/>
        <v>5.0827853703164498</v>
      </c>
      <c r="AX17" s="42" t="str">
        <f t="shared" si="8"/>
        <v/>
      </c>
      <c r="AY17" s="42" t="str">
        <f t="shared" si="6"/>
        <v/>
      </c>
      <c r="AZ17" s="42" t="str">
        <f t="shared" si="7"/>
        <v/>
      </c>
      <c r="BA17" s="42" t="str">
        <f t="shared" si="9"/>
        <v/>
      </c>
      <c r="BC17" s="42">
        <f t="shared" si="14"/>
        <v>0</v>
      </c>
      <c r="BD17" s="42">
        <f t="shared" si="15"/>
        <v>7</v>
      </c>
      <c r="BE17" s="42">
        <f t="shared" si="16"/>
        <v>14</v>
      </c>
      <c r="BF17" s="42">
        <f t="shared" si="17"/>
        <v>21</v>
      </c>
      <c r="BG17" s="42">
        <f t="shared" si="18"/>
        <v>28</v>
      </c>
      <c r="BH17" s="42" t="str">
        <f t="shared" si="10"/>
        <v/>
      </c>
      <c r="BI17" s="42" t="str">
        <f t="shared" si="11"/>
        <v/>
      </c>
      <c r="BJ17" s="42" t="str">
        <f t="shared" si="12"/>
        <v/>
      </c>
      <c r="BK17" s="42" t="str">
        <f t="shared" si="13"/>
        <v/>
      </c>
      <c r="BN17" s="42">
        <f>INTERCEPT($AS17:AT17,$BC17:BD17)</f>
        <v>5.7923916894982534</v>
      </c>
      <c r="BO17" s="42">
        <f>INTERCEPT($AS17:AU17,$BC17:BE17)</f>
        <v>5.8683394761955423</v>
      </c>
      <c r="BP17" s="42">
        <f>INTERCEPT($AS17:AV17,$BC17:BF17)</f>
        <v>5.8570700702435552</v>
      </c>
      <c r="BQ17" s="42">
        <f>INTERCEPT($AS17:AW17,$BC17:BG17)</f>
        <v>5.7387124061290731</v>
      </c>
      <c r="BR17" s="42">
        <f>INTERCEPT($AS17:AX17,$BC17:BH17)</f>
        <v>5.7387124061290731</v>
      </c>
      <c r="BS17" s="42">
        <f>INTERCEPT($AS17:AY17,$BC17:BI17)</f>
        <v>5.7387124061290731</v>
      </c>
      <c r="BT17" s="42">
        <f>INTERCEPT($AS17:AZ17,$BC17:BJ17)</f>
        <v>5.7387124061290731</v>
      </c>
      <c r="BU17" s="42">
        <f>INTERCEPT($AS17:BA17,$BC17:BK17)</f>
        <v>5.7387124061290731</v>
      </c>
      <c r="BX17" s="42">
        <f t="shared" si="19"/>
        <v>-1.8654143422998919E-2</v>
      </c>
      <c r="BY17" s="42">
        <f t="shared" si="20"/>
        <v>-5.1203194864694455E-2</v>
      </c>
      <c r="BZ17" s="42">
        <f t="shared" si="24"/>
        <v>-4.8788322160697048E-2</v>
      </c>
      <c r="CA17" s="42">
        <f t="shared" si="25"/>
        <v>-3.1880084430056702E-2</v>
      </c>
      <c r="CB17" s="42" t="str">
        <f t="shared" si="26"/>
        <v/>
      </c>
      <c r="CC17" s="42" t="str">
        <f t="shared" si="21"/>
        <v/>
      </c>
      <c r="CD17" s="42" t="str">
        <f t="shared" si="22"/>
        <v/>
      </c>
      <c r="CE17" s="42" t="str">
        <f t="shared" si="23"/>
        <v/>
      </c>
      <c r="CH17" s="42">
        <f>IF(S17&gt;0,((4-BN17)/(SLOPE($AS17:AT17, $BC17:BD17))),"")</f>
        <v>96.085445943789196</v>
      </c>
      <c r="CI17" s="42">
        <f>IF(T17&gt;0,((4-BO17)/(SLOPE($AS17:AU17, $BC17:BE17))),"")</f>
        <v>36.48872850869305</v>
      </c>
      <c r="CJ17" s="42">
        <f>IF(U17&gt;0,((4-BP17)/(SLOPE($AS17:AV17, $BC17:BF17))),"")</f>
        <v>38.063823226525628</v>
      </c>
      <c r="CK17" s="42">
        <f>IF(V17&gt;0,((4-BQ17)/(SLOPE($AS17:AW17, $BC17:BG17))),"")</f>
        <v>54.539140570462429</v>
      </c>
      <c r="CL17" s="42" t="str">
        <f>IF(W17&gt;0,((4-BR17)/(SLOPE($AS17:AX17, $BC17:BH17))),"")</f>
        <v/>
      </c>
      <c r="CM17" s="42" t="str">
        <f>IF(X17&gt;0,((4-BS17)/(SLOPE($AS17:AY17, $BC17:BI17))),"")</f>
        <v/>
      </c>
      <c r="CN17" s="42" t="str">
        <f>IF(Y17&gt;0,((4-BT17)/(SLOPE($AS17:AZ17, $BC17:BJ17))),"")</f>
        <v/>
      </c>
      <c r="CO17" s="42" t="str">
        <f>IF(Z17&gt;0,((4-BU17)/(SLOPE($AS17:BA17, $BC17:BK17))),"")</f>
        <v/>
      </c>
    </row>
    <row r="18" spans="1:93">
      <c r="A18" s="42">
        <v>30</v>
      </c>
      <c r="B18" s="123" t="s">
        <v>588</v>
      </c>
      <c r="C18" s="46" t="s">
        <v>118</v>
      </c>
      <c r="D18" s="46" t="s">
        <v>119</v>
      </c>
      <c r="E18" s="45" t="s">
        <v>35</v>
      </c>
      <c r="F18" s="52" t="s">
        <v>63</v>
      </c>
      <c r="G18" s="52"/>
      <c r="H18" s="52" t="s">
        <v>99</v>
      </c>
      <c r="I18" s="52" t="s">
        <v>99</v>
      </c>
      <c r="J18" s="46" t="s">
        <v>544</v>
      </c>
      <c r="K18" s="46"/>
      <c r="L18" s="46"/>
      <c r="M18" s="72" cm="1">
        <f t="array" ref="M18">LOOKUP(2,1/(ISNUMBER(BX18:CE18)),BX18:CE18)</f>
        <v>-9.0002676186076214E-2</v>
      </c>
      <c r="N18" s="72" cm="1">
        <f t="array" ref="N18">LOOKUP(2,1/(ISNUMBER(CH18:CO18)),CH18:CO18)</f>
        <v>26.806071465456156</v>
      </c>
      <c r="O18" s="58">
        <v>19733333333.333332</v>
      </c>
      <c r="P18" s="58">
        <v>2663331247.3917532</v>
      </c>
      <c r="Q18" s="59">
        <f t="shared" si="0"/>
        <v>0.93920838793351447</v>
      </c>
      <c r="R18" s="112">
        <v>2013333.333333333</v>
      </c>
      <c r="S18" s="112">
        <v>1110000</v>
      </c>
      <c r="T18" s="112">
        <v>62100</v>
      </c>
      <c r="U18" s="60">
        <v>77300</v>
      </c>
      <c r="V18" s="60">
        <v>5400</v>
      </c>
      <c r="W18" s="47"/>
      <c r="X18" s="47"/>
      <c r="Y18" s="47"/>
      <c r="Z18" s="47"/>
      <c r="AA18" s="109">
        <v>220302.82189144407</v>
      </c>
      <c r="AB18" s="109">
        <v>128582.01014657273</v>
      </c>
      <c r="AC18" s="109">
        <v>17637.838113933722</v>
      </c>
      <c r="AD18" s="47"/>
      <c r="AE18" s="47"/>
      <c r="AF18" s="47"/>
      <c r="AG18" s="47"/>
      <c r="AH18" s="47"/>
      <c r="AI18" s="47"/>
      <c r="AJ18" s="111">
        <v>44939</v>
      </c>
      <c r="AK18" s="111">
        <v>44946</v>
      </c>
      <c r="AL18" s="111">
        <v>44953</v>
      </c>
      <c r="AM18" s="61">
        <v>44960</v>
      </c>
      <c r="AN18" s="61">
        <v>44967</v>
      </c>
      <c r="AO18" s="117"/>
      <c r="AP18" s="117"/>
      <c r="AQ18" s="117"/>
      <c r="AR18" s="48"/>
      <c r="AS18" s="42">
        <f t="shared" si="1"/>
        <v>6.3039156839014696</v>
      </c>
      <c r="AT18" s="42">
        <f t="shared" si="2"/>
        <v>6.0453229787866576</v>
      </c>
      <c r="AU18" s="42">
        <f t="shared" si="3"/>
        <v>4.79309160017658</v>
      </c>
      <c r="AV18" s="42">
        <f t="shared" si="4"/>
        <v>4.888179493918325</v>
      </c>
      <c r="AW18" s="42">
        <f t="shared" si="5"/>
        <v>3.7323937598229686</v>
      </c>
      <c r="AX18" s="42" t="str">
        <f t="shared" si="8"/>
        <v/>
      </c>
      <c r="AY18" s="42" t="str">
        <f t="shared" si="6"/>
        <v/>
      </c>
      <c r="AZ18" s="42" t="str">
        <f t="shared" si="7"/>
        <v/>
      </c>
      <c r="BA18" s="42" t="str">
        <f t="shared" si="9"/>
        <v/>
      </c>
      <c r="BC18" s="42">
        <f t="shared" si="14"/>
        <v>0</v>
      </c>
      <c r="BD18" s="42">
        <f t="shared" si="15"/>
        <v>7</v>
      </c>
      <c r="BE18" s="42">
        <f t="shared" si="16"/>
        <v>14</v>
      </c>
      <c r="BF18" s="42">
        <f t="shared" si="17"/>
        <v>21</v>
      </c>
      <c r="BG18" s="42">
        <f t="shared" si="18"/>
        <v>28</v>
      </c>
      <c r="BH18" s="42" t="str">
        <f t="shared" si="10"/>
        <v/>
      </c>
      <c r="BI18" s="42" t="str">
        <f t="shared" si="11"/>
        <v/>
      </c>
      <c r="BJ18" s="42" t="str">
        <f t="shared" si="12"/>
        <v/>
      </c>
      <c r="BK18" s="42" t="str">
        <f t="shared" si="13"/>
        <v/>
      </c>
      <c r="BN18" s="42">
        <f>INTERCEPT($AS18:AT18,$BC18:BD18)</f>
        <v>6.3039156839014687</v>
      </c>
      <c r="BO18" s="42">
        <f>INTERCEPT($AS18:AU18,$BC18:BE18)</f>
        <v>6.4695221294840142</v>
      </c>
      <c r="BP18" s="42">
        <f>INTERCEPT($AS18:AV18,$BC18:BF18)</f>
        <v>6.3325434314796851</v>
      </c>
      <c r="BQ18" s="42">
        <f>INTERCEPT($AS18:AW18,$BC18:BG18)</f>
        <v>6.4126181699262679</v>
      </c>
      <c r="BR18" s="42">
        <f>INTERCEPT($AS18:AX18,$BC18:BH18)</f>
        <v>6.4126181699262679</v>
      </c>
      <c r="BS18" s="42">
        <f>INTERCEPT($AS18:AY18,$BC18:BI18)</f>
        <v>6.4126181699262679</v>
      </c>
      <c r="BT18" s="42">
        <f>INTERCEPT($AS18:AZ18,$BC18:BJ18)</f>
        <v>6.4126181699262679</v>
      </c>
      <c r="BU18" s="42">
        <f>INTERCEPT($AS18:BA18,$BC18:BK18)</f>
        <v>6.4126181699262679</v>
      </c>
      <c r="BX18" s="42">
        <f t="shared" si="19"/>
        <v>-3.6941815016401716E-2</v>
      </c>
      <c r="BY18" s="42">
        <f t="shared" si="20"/>
        <v>-0.10791600598034926</v>
      </c>
      <c r="BZ18" s="42">
        <f t="shared" si="24"/>
        <v>-7.8563427836564448E-2</v>
      </c>
      <c r="CA18" s="42">
        <f t="shared" si="25"/>
        <v>-9.0002676186076214E-2</v>
      </c>
      <c r="CB18" s="42" t="str">
        <f t="shared" si="26"/>
        <v/>
      </c>
      <c r="CC18" s="42" t="str">
        <f t="shared" si="21"/>
        <v/>
      </c>
      <c r="CD18" s="42" t="str">
        <f t="shared" si="22"/>
        <v/>
      </c>
      <c r="CE18" s="42" t="str">
        <f t="shared" si="23"/>
        <v/>
      </c>
      <c r="CH18" s="42">
        <f>IF(S18&gt;0,((4-BN18)/(SLOPE($AS18:AT18, $BC18:BD18))),"")</f>
        <v>62.36606628230254</v>
      </c>
      <c r="CI18" s="42">
        <f>IF(T18&gt;0,((4-BO18)/(SLOPE($AS18:AU18, $BC18:BE18))),"")</f>
        <v>22.883742842870749</v>
      </c>
      <c r="CJ18" s="42">
        <f>IF(U18&gt;0,((4-BP18)/(SLOPE($AS18:AV18, $BC18:BF18))),"")</f>
        <v>29.689939654008946</v>
      </c>
      <c r="CK18" s="42">
        <f>IF(V18&gt;0,((4-BQ18)/(SLOPE($AS18:AW18, $BC18:BG18))),"")</f>
        <v>26.806071465456156</v>
      </c>
      <c r="CL18" s="42" t="str">
        <f>IF(W18&gt;0,((4-BR18)/(SLOPE($AS18:AX18, $BC18:BH18))),"")</f>
        <v/>
      </c>
      <c r="CM18" s="42" t="str">
        <f>IF(X18&gt;0,((4-BS18)/(SLOPE($AS18:AY18, $BC18:BI18))),"")</f>
        <v/>
      </c>
      <c r="CN18" s="42" t="str">
        <f>IF(Y18&gt;0,((4-BT18)/(SLOPE($AS18:AZ18, $BC18:BJ18))),"")</f>
        <v/>
      </c>
      <c r="CO18" s="42" t="str">
        <f>IF(Z18&gt;0,((4-BU18)/(SLOPE($AS18:BA18, $BC18:BK18))),"")</f>
        <v/>
      </c>
    </row>
    <row r="19" spans="1:93">
      <c r="A19" s="42">
        <v>32</v>
      </c>
      <c r="B19" s="123" t="s">
        <v>588</v>
      </c>
      <c r="C19" s="46" t="s">
        <v>121</v>
      </c>
      <c r="D19" s="46" t="s">
        <v>122</v>
      </c>
      <c r="E19" s="45" t="s">
        <v>35</v>
      </c>
      <c r="F19" s="52" t="s">
        <v>39</v>
      </c>
      <c r="G19" s="52"/>
      <c r="H19" s="52" t="s">
        <v>99</v>
      </c>
      <c r="I19" s="52" t="s">
        <v>99</v>
      </c>
      <c r="J19" s="46" t="s">
        <v>544</v>
      </c>
      <c r="K19" s="46"/>
      <c r="L19" s="46"/>
      <c r="M19" s="72" cm="1">
        <f t="array" ref="M19">LOOKUP(2,1/(ISNUMBER(BX19:CE19)),BX19:CE19)</f>
        <v>-7.3182510511577425E-2</v>
      </c>
      <c r="N19" s="72" cm="1">
        <f t="array" ref="N19">LOOKUP(2,1/(ISNUMBER(CH19:CO19)),CH19:CO19)</f>
        <v>30.116923634965538</v>
      </c>
      <c r="O19" s="58">
        <v>15066666666.666666</v>
      </c>
      <c r="P19" s="58">
        <v>1404753833.7136984</v>
      </c>
      <c r="Q19" s="59">
        <f t="shared" si="0"/>
        <v>1.0010020633151457</v>
      </c>
      <c r="R19" s="112">
        <v>1333333.333333333</v>
      </c>
      <c r="S19" s="112">
        <v>432000</v>
      </c>
      <c r="T19" s="112">
        <v>139000</v>
      </c>
      <c r="U19" s="60">
        <v>168000</v>
      </c>
      <c r="V19" s="60">
        <v>5870</v>
      </c>
      <c r="W19" s="47"/>
      <c r="X19" s="47"/>
      <c r="Y19" s="47"/>
      <c r="Z19" s="47"/>
      <c r="AA19" s="109">
        <v>241108.5509336681</v>
      </c>
      <c r="AB19" s="109">
        <v>76315.136113355635</v>
      </c>
      <c r="AC19" s="109">
        <v>34019.602192461512</v>
      </c>
      <c r="AD19" s="47"/>
      <c r="AE19" s="47"/>
      <c r="AF19" s="47"/>
      <c r="AG19" s="47"/>
      <c r="AH19" s="47"/>
      <c r="AI19" s="47"/>
      <c r="AJ19" s="111">
        <v>44939</v>
      </c>
      <c r="AK19" s="111">
        <v>44946</v>
      </c>
      <c r="AL19" s="111">
        <v>44953</v>
      </c>
      <c r="AM19" s="61">
        <v>44960</v>
      </c>
      <c r="AN19" s="61">
        <v>44967</v>
      </c>
      <c r="AO19" s="117"/>
      <c r="AP19" s="117"/>
      <c r="AQ19" s="117"/>
      <c r="AR19" s="48"/>
      <c r="AS19" s="42">
        <f t="shared" si="1"/>
        <v>6.1249387366082999</v>
      </c>
      <c r="AT19" s="42">
        <f t="shared" si="2"/>
        <v>5.6354837468149119</v>
      </c>
      <c r="AU19" s="42">
        <f t="shared" si="3"/>
        <v>5.143014800254095</v>
      </c>
      <c r="AV19" s="42">
        <f t="shared" si="4"/>
        <v>5.2253092817258633</v>
      </c>
      <c r="AW19" s="42">
        <f t="shared" si="5"/>
        <v>3.7686381012476144</v>
      </c>
      <c r="AX19" s="42" t="str">
        <f t="shared" si="8"/>
        <v/>
      </c>
      <c r="AY19" s="42" t="str">
        <f t="shared" si="6"/>
        <v/>
      </c>
      <c r="AZ19" s="42" t="str">
        <f t="shared" si="7"/>
        <v/>
      </c>
      <c r="BA19" s="42" t="str">
        <f t="shared" si="9"/>
        <v/>
      </c>
      <c r="BC19" s="42">
        <f t="shared" si="14"/>
        <v>0</v>
      </c>
      <c r="BD19" s="42">
        <f t="shared" si="15"/>
        <v>7</v>
      </c>
      <c r="BE19" s="42">
        <f t="shared" si="16"/>
        <v>14</v>
      </c>
      <c r="BF19" s="42">
        <f t="shared" si="17"/>
        <v>21</v>
      </c>
      <c r="BG19" s="42">
        <f t="shared" si="18"/>
        <v>28</v>
      </c>
      <c r="BH19" s="42" t="str">
        <f t="shared" si="10"/>
        <v/>
      </c>
      <c r="BI19" s="42" t="str">
        <f t="shared" si="11"/>
        <v/>
      </c>
      <c r="BJ19" s="42" t="str">
        <f t="shared" si="12"/>
        <v/>
      </c>
      <c r="BK19" s="42" t="str">
        <f t="shared" si="13"/>
        <v/>
      </c>
      <c r="BN19" s="42">
        <f>INTERCEPT($AS19:AT19,$BC19:BD19)</f>
        <v>6.1249387366082999</v>
      </c>
      <c r="BO19" s="42">
        <f>INTERCEPT($AS19:AU19,$BC19:BE19)</f>
        <v>6.1254410627362041</v>
      </c>
      <c r="BP19" s="42">
        <f>INTERCEPT($AS19:AV19,$BC19:BF19)</f>
        <v>6.0108902380320117</v>
      </c>
      <c r="BQ19" s="42">
        <f>INTERCEPT($AS19:AW19,$BC19:BG19)</f>
        <v>6.2040320804922402</v>
      </c>
      <c r="BR19" s="42">
        <f>INTERCEPT($AS19:AX19,$BC19:BH19)</f>
        <v>6.2040320804922402</v>
      </c>
      <c r="BS19" s="42">
        <f>INTERCEPT($AS19:AY19,$BC19:BI19)</f>
        <v>6.2040320804922402</v>
      </c>
      <c r="BT19" s="42">
        <f>INTERCEPT($AS19:AZ19,$BC19:BJ19)</f>
        <v>6.2040320804922402</v>
      </c>
      <c r="BU19" s="42">
        <f>INTERCEPT($AS19:BA19,$BC19:BK19)</f>
        <v>6.2040320804922402</v>
      </c>
      <c r="BX19" s="42">
        <f t="shared" si="19"/>
        <v>-6.9922141399055421E-2</v>
      </c>
      <c r="BY19" s="42">
        <f t="shared" si="20"/>
        <v>-7.0137424025300349E-2</v>
      </c>
      <c r="BZ19" s="42">
        <f t="shared" si="24"/>
        <v>-4.5590818731544663E-2</v>
      </c>
      <c r="CA19" s="42">
        <f t="shared" si="25"/>
        <v>-7.3182510511577425E-2</v>
      </c>
      <c r="CB19" s="42" t="str">
        <f t="shared" si="26"/>
        <v/>
      </c>
      <c r="CC19" s="42" t="str">
        <f t="shared" si="21"/>
        <v/>
      </c>
      <c r="CD19" s="42" t="str">
        <f t="shared" si="22"/>
        <v/>
      </c>
      <c r="CE19" s="42" t="str">
        <f t="shared" si="23"/>
        <v/>
      </c>
      <c r="CH19" s="42">
        <f>IF(S19&gt;0,((4-BN19)/(SLOPE($AS19:AT19, $BC19:BD19))),"")</f>
        <v>30.390069498600994</v>
      </c>
      <c r="CI19" s="42">
        <f>IF(T19&gt;0,((4-BO19)/(SLOPE($AS19:AU19, $BC19:BE19))),"")</f>
        <v>30.303951025767692</v>
      </c>
      <c r="CJ19" s="42">
        <f>IF(U19&gt;0,((4-BP19)/(SLOPE($AS19:AV19, $BC19:BF19))),"")</f>
        <v>44.107350865376326</v>
      </c>
      <c r="CK19" s="42">
        <f>IF(V19&gt;0,((4-BQ19)/(SLOPE($AS19:AW19, $BC19:BG19))),"")</f>
        <v>30.116923634965538</v>
      </c>
      <c r="CL19" s="42" t="str">
        <f>IF(W19&gt;0,((4-BR19)/(SLOPE($AS19:AX19, $BC19:BH19))),"")</f>
        <v/>
      </c>
      <c r="CM19" s="42" t="str">
        <f>IF(X19&gt;0,((4-BS19)/(SLOPE($AS19:AY19, $BC19:BI19))),"")</f>
        <v/>
      </c>
      <c r="CN19" s="42" t="str">
        <f>IF(Y19&gt;0,((4-BT19)/(SLOPE($AS19:AZ19, $BC19:BJ19))),"")</f>
        <v/>
      </c>
      <c r="CO19" s="42" t="str">
        <f>IF(Z19&gt;0,((4-BU19)/(SLOPE($AS19:BA19, $BC19:BK19))),"")</f>
        <v/>
      </c>
    </row>
    <row r="20" spans="1:93">
      <c r="A20" s="42">
        <v>34</v>
      </c>
      <c r="B20" s="123" t="s">
        <v>588</v>
      </c>
      <c r="C20" s="46" t="s">
        <v>126</v>
      </c>
      <c r="D20" s="46" t="s">
        <v>127</v>
      </c>
      <c r="E20" s="45" t="s">
        <v>35</v>
      </c>
      <c r="F20" s="52" t="s">
        <v>39</v>
      </c>
      <c r="G20" s="52"/>
      <c r="H20" s="52" t="s">
        <v>105</v>
      </c>
      <c r="I20" s="52" t="s">
        <v>105</v>
      </c>
      <c r="J20" s="46" t="s">
        <v>544</v>
      </c>
      <c r="K20" s="46"/>
      <c r="L20" s="46"/>
      <c r="M20" s="72" cm="1">
        <f t="array" ref="M20">LOOKUP(2,1/(ISNUMBER(BX20:CE20)),BX20:CE20)</f>
        <v>-2.7282951549003738E-2</v>
      </c>
      <c r="N20" s="72" cm="1">
        <f t="array" ref="N20">LOOKUP(2,1/(ISNUMBER(CH20:CO20)),CH20:CO20)</f>
        <v>76.291033313263853</v>
      </c>
      <c r="O20" s="58">
        <v>18400000000</v>
      </c>
      <c r="P20" s="58">
        <v>1385640646.0551019</v>
      </c>
      <c r="Q20" s="59">
        <f t="shared" si="0"/>
        <v>0.98059273658509394</v>
      </c>
      <c r="R20" s="112">
        <v>1706666.6666666665</v>
      </c>
      <c r="S20" s="112">
        <v>569000</v>
      </c>
      <c r="T20" s="112">
        <v>351000</v>
      </c>
      <c r="U20" s="60">
        <v>257000</v>
      </c>
      <c r="V20" s="60">
        <v>405000</v>
      </c>
      <c r="W20" s="60">
        <v>31700</v>
      </c>
      <c r="X20" s="47"/>
      <c r="Y20" s="47"/>
      <c r="Z20" s="47"/>
      <c r="AA20" s="109">
        <v>220302.82189144462</v>
      </c>
      <c r="AB20" s="109">
        <v>90007.407102600802</v>
      </c>
      <c r="AC20" s="109">
        <v>67091.976668848743</v>
      </c>
      <c r="AD20" s="47"/>
      <c r="AE20" s="47"/>
      <c r="AF20" s="47"/>
      <c r="AG20" s="47"/>
      <c r="AH20" s="47"/>
      <c r="AI20" s="47"/>
      <c r="AJ20" s="111">
        <v>44939</v>
      </c>
      <c r="AK20" s="111">
        <v>44946</v>
      </c>
      <c r="AL20" s="111">
        <v>44953</v>
      </c>
      <c r="AM20" s="61">
        <v>44960</v>
      </c>
      <c r="AN20" s="61">
        <v>44967</v>
      </c>
      <c r="AO20" s="119">
        <v>44995</v>
      </c>
      <c r="AP20" s="117"/>
      <c r="AQ20" s="117"/>
      <c r="AR20" s="48"/>
      <c r="AS20" s="42">
        <f t="shared" si="1"/>
        <v>6.2321487062561687</v>
      </c>
      <c r="AT20" s="42">
        <f t="shared" si="2"/>
        <v>5.7551122663950709</v>
      </c>
      <c r="AU20" s="42">
        <f t="shared" si="3"/>
        <v>5.5453071164658239</v>
      </c>
      <c r="AV20" s="42">
        <f t="shared" si="4"/>
        <v>5.4099331233312942</v>
      </c>
      <c r="AW20" s="42">
        <f t="shared" si="5"/>
        <v>5.6074550232146683</v>
      </c>
      <c r="AX20" s="42">
        <f t="shared" si="8"/>
        <v>4.5010592622177512</v>
      </c>
      <c r="AY20" s="42" t="str">
        <f t="shared" si="6"/>
        <v/>
      </c>
      <c r="AZ20" s="42" t="str">
        <f t="shared" si="7"/>
        <v/>
      </c>
      <c r="BA20" s="42" t="str">
        <f t="shared" si="9"/>
        <v/>
      </c>
      <c r="BC20" s="42">
        <f t="shared" si="14"/>
        <v>0</v>
      </c>
      <c r="BD20" s="42">
        <f t="shared" si="15"/>
        <v>7</v>
      </c>
      <c r="BE20" s="42">
        <f t="shared" si="16"/>
        <v>14</v>
      </c>
      <c r="BF20" s="42">
        <f t="shared" si="17"/>
        <v>21</v>
      </c>
      <c r="BG20" s="42">
        <f t="shared" si="18"/>
        <v>28</v>
      </c>
      <c r="BH20" s="42">
        <f t="shared" si="10"/>
        <v>56</v>
      </c>
      <c r="BI20" s="42" t="str">
        <f t="shared" si="11"/>
        <v/>
      </c>
      <c r="BJ20" s="42" t="str">
        <f t="shared" si="12"/>
        <v/>
      </c>
      <c r="BK20" s="42" t="str">
        <f t="shared" si="13"/>
        <v/>
      </c>
      <c r="BN20" s="42">
        <f>INTERCEPT($AS20:AT20,$BC20:BD20)</f>
        <v>6.2321487062561687</v>
      </c>
      <c r="BO20" s="42">
        <f>INTERCEPT($AS20:AU20,$BC20:BE20)</f>
        <v>6.1876101579341931</v>
      </c>
      <c r="BP20" s="42">
        <f>INTERCEPT($AS20:AV20,$BC20:BF20)</f>
        <v>6.1370930879176697</v>
      </c>
      <c r="BQ20" s="42">
        <f>INTERCEPT($AS20:AW20,$BC20:BG20)</f>
        <v>6.0289045489619602</v>
      </c>
      <c r="BR20" s="42">
        <f>INTERCEPT($AS20:AX20,$BC20:BH20)</f>
        <v>6.0814445655092078</v>
      </c>
      <c r="BS20" s="42">
        <f>INTERCEPT($AS20:AY20,$BC20:BI20)</f>
        <v>6.0814445655092078</v>
      </c>
      <c r="BT20" s="42">
        <f>INTERCEPT($AS20:AZ20,$BC20:BJ20)</f>
        <v>6.0814445655092078</v>
      </c>
      <c r="BU20" s="42">
        <f>INTERCEPT($AS20:BA20,$BC20:BK20)</f>
        <v>6.0814445655092078</v>
      </c>
      <c r="BX20" s="42">
        <f t="shared" si="19"/>
        <v>-6.8148062837299683E-2</v>
      </c>
      <c r="BY20" s="42">
        <f t="shared" si="20"/>
        <v>-4.9060113556453198E-2</v>
      </c>
      <c r="BZ20" s="42">
        <f t="shared" si="24"/>
        <v>-3.8235027124341008E-2</v>
      </c>
      <c r="CA20" s="42">
        <f t="shared" si="25"/>
        <v>-2.2779521559239676E-2</v>
      </c>
      <c r="CB20" s="42">
        <f t="shared" si="26"/>
        <v>-2.7282951549003738E-2</v>
      </c>
      <c r="CC20" s="42" t="str">
        <f t="shared" si="21"/>
        <v/>
      </c>
      <c r="CD20" s="42" t="str">
        <f t="shared" si="22"/>
        <v/>
      </c>
      <c r="CE20" s="42" t="str">
        <f t="shared" si="23"/>
        <v/>
      </c>
      <c r="CH20" s="42">
        <f>IF(S20&gt;0,((4-BN20)/(SLOPE($AS20:AT20, $BC20:BD20))),"")</f>
        <v>32.754397019109987</v>
      </c>
      <c r="CI20" s="42">
        <f>IF(T20&gt;0,((4-BO20)/(SLOPE($AS20:AU20, $BC20:BE20))),"")</f>
        <v>44.590401435107204</v>
      </c>
      <c r="CJ20" s="42">
        <f>IF(U20&gt;0,((4-BP20)/(SLOPE($AS20:AV20, $BC20:BF20))),"")</f>
        <v>55.893594137328684</v>
      </c>
      <c r="CK20" s="42">
        <f>IF(V20&gt;0,((4-BQ20)/(SLOPE($AS20:AW20, $BC20:BG20))),"")</f>
        <v>89.067039607730905</v>
      </c>
      <c r="CL20" s="42">
        <f>IF(W20&gt;0,((4-BR20)/(SLOPE($AS20:AX20, $BC20:BH20))),"")</f>
        <v>76.291033313263853</v>
      </c>
      <c r="CM20" s="42" t="str">
        <f>IF(X20&gt;0,((4-BS20)/(SLOPE($AS20:AY20, $BC20:BI20))),"")</f>
        <v/>
      </c>
      <c r="CN20" s="42" t="str">
        <f>IF(Y20&gt;0,((4-BT20)/(SLOPE($AS20:AZ20, $BC20:BJ20))),"")</f>
        <v/>
      </c>
      <c r="CO20" s="42" t="str">
        <f>IF(Z20&gt;0,((4-BU20)/(SLOPE($AS20:BA20, $BC20:BK20))),"")</f>
        <v/>
      </c>
    </row>
    <row r="21" spans="1:93" ht="32">
      <c r="A21" s="42">
        <v>37</v>
      </c>
      <c r="B21" s="123" t="s">
        <v>588</v>
      </c>
      <c r="C21" s="46" t="s">
        <v>129</v>
      </c>
      <c r="D21" s="46" t="s">
        <v>130</v>
      </c>
      <c r="E21" s="45" t="s">
        <v>61</v>
      </c>
      <c r="F21" s="52" t="s">
        <v>39</v>
      </c>
      <c r="G21" s="52"/>
      <c r="H21" s="54" t="s">
        <v>110</v>
      </c>
      <c r="I21" s="54" t="s">
        <v>457</v>
      </c>
      <c r="J21" s="46" t="s">
        <v>544</v>
      </c>
      <c r="K21" s="46"/>
      <c r="L21" s="46"/>
      <c r="M21" s="72" cm="1">
        <f t="array" ref="M21">LOOKUP(2,1/(ISNUMBER(BX21:CE21)),BX21:CE21)</f>
        <v>-7.1495383934307544E-2</v>
      </c>
      <c r="N21" s="72" cm="1">
        <f t="array" ref="N21">LOOKUP(2,1/(ISNUMBER(CH21:CO21)),CH21:CO21)</f>
        <v>12.686959842060915</v>
      </c>
      <c r="O21" s="58">
        <v>1506666666.6666667</v>
      </c>
      <c r="P21" s="58">
        <v>161658075.37309521</v>
      </c>
      <c r="Q21" s="59">
        <f t="shared" si="0"/>
        <v>1.236825930924816</v>
      </c>
      <c r="R21" s="112">
        <v>77466.666666666657</v>
      </c>
      <c r="S21" s="112">
        <v>27700</v>
      </c>
      <c r="T21" s="112">
        <v>7730</v>
      </c>
      <c r="U21" s="47"/>
      <c r="V21" s="47"/>
      <c r="W21" s="47"/>
      <c r="X21" s="47"/>
      <c r="Y21" s="47"/>
      <c r="Z21" s="47"/>
      <c r="AA21" s="109">
        <v>11609.191760554811</v>
      </c>
      <c r="AB21" s="109">
        <v>6379.1326474163616</v>
      </c>
      <c r="AC21" s="109">
        <v>1847.520861406801</v>
      </c>
      <c r="AD21" s="47"/>
      <c r="AE21" s="47"/>
      <c r="AF21" s="47"/>
      <c r="AG21" s="47"/>
      <c r="AH21" s="47"/>
      <c r="AI21" s="47"/>
      <c r="AJ21" s="111">
        <v>44939</v>
      </c>
      <c r="AK21" s="111">
        <v>44946</v>
      </c>
      <c r="AL21" s="111">
        <v>44953</v>
      </c>
      <c r="AM21" s="61">
        <v>44960</v>
      </c>
      <c r="AN21" s="61">
        <v>44967</v>
      </c>
      <c r="AO21" s="117"/>
      <c r="AP21" s="117"/>
      <c r="AQ21" s="117"/>
      <c r="AR21" s="48"/>
      <c r="AS21" s="42">
        <f t="shared" si="1"/>
        <v>4.8891148689986306</v>
      </c>
      <c r="AT21" s="42">
        <f t="shared" si="2"/>
        <v>4.4424797690644482</v>
      </c>
      <c r="AU21" s="42">
        <f t="shared" si="3"/>
        <v>3.888179493918325</v>
      </c>
      <c r="AV21" s="42" t="str">
        <f t="shared" si="4"/>
        <v/>
      </c>
      <c r="AW21" s="42" t="str">
        <f t="shared" si="5"/>
        <v/>
      </c>
      <c r="AX21" s="42" t="str">
        <f t="shared" si="8"/>
        <v/>
      </c>
      <c r="AY21" s="42" t="str">
        <f t="shared" si="6"/>
        <v/>
      </c>
      <c r="AZ21" s="42" t="str">
        <f t="shared" si="7"/>
        <v/>
      </c>
      <c r="BA21" s="42" t="str">
        <f t="shared" si="9"/>
        <v/>
      </c>
      <c r="BC21" s="42">
        <f t="shared" si="14"/>
        <v>0</v>
      </c>
      <c r="BD21" s="42">
        <f t="shared" si="15"/>
        <v>7</v>
      </c>
      <c r="BE21" s="42">
        <f t="shared" si="16"/>
        <v>14</v>
      </c>
      <c r="BF21" s="42">
        <f t="shared" si="17"/>
        <v>21</v>
      </c>
      <c r="BG21" s="42">
        <f t="shared" si="18"/>
        <v>28</v>
      </c>
      <c r="BH21" s="42" t="str">
        <f t="shared" si="10"/>
        <v/>
      </c>
      <c r="BI21" s="42" t="str">
        <f t="shared" si="11"/>
        <v/>
      </c>
      <c r="BJ21" s="42" t="str">
        <f t="shared" si="12"/>
        <v/>
      </c>
      <c r="BK21" s="42" t="str">
        <f t="shared" si="13"/>
        <v/>
      </c>
      <c r="BN21" s="42">
        <f>INTERCEPT($AS21:AT21,$BC21:BD21)</f>
        <v>4.8891148689986306</v>
      </c>
      <c r="BO21" s="42">
        <f>INTERCEPT($AS21:AU21,$BC21:BE21)</f>
        <v>4.9070590648672869</v>
      </c>
      <c r="BP21" s="42">
        <f>INTERCEPT($AS21:AV21,$BC21:BF21)</f>
        <v>4.9070590648672869</v>
      </c>
      <c r="BQ21" s="42">
        <f>INTERCEPT($AS21:AW21,$BC21:BG21)</f>
        <v>4.9070590648672869</v>
      </c>
      <c r="BR21" s="42">
        <f>INTERCEPT($AS21:AX21,$BC21:BH21)</f>
        <v>4.9070590648672869</v>
      </c>
      <c r="BS21" s="42">
        <f>INTERCEPT($AS21:AY21,$BC21:BI21)</f>
        <v>4.9070590648672869</v>
      </c>
      <c r="BT21" s="42">
        <f>INTERCEPT($AS21:AZ21,$BC21:BJ21)</f>
        <v>4.9070590648672869</v>
      </c>
      <c r="BU21" s="42">
        <f>INTERCEPT($AS21:BA21,$BC21:BK21)</f>
        <v>4.9070590648672869</v>
      </c>
      <c r="BX21" s="42">
        <f t="shared" si="19"/>
        <v>-6.3805014276311772E-2</v>
      </c>
      <c r="BY21" s="42">
        <f t="shared" si="20"/>
        <v>-7.1495383934307544E-2</v>
      </c>
      <c r="BZ21" s="42" t="str">
        <f t="shared" si="24"/>
        <v/>
      </c>
      <c r="CA21" s="42" t="str">
        <f t="shared" si="25"/>
        <v/>
      </c>
      <c r="CB21" s="42" t="str">
        <f t="shared" si="26"/>
        <v/>
      </c>
      <c r="CC21" s="42" t="str">
        <f t="shared" si="21"/>
        <v/>
      </c>
      <c r="CD21" s="42" t="str">
        <f t="shared" si="22"/>
        <v/>
      </c>
      <c r="CE21" s="42" t="str">
        <f t="shared" si="23"/>
        <v/>
      </c>
      <c r="CH21" s="42">
        <f>IF(S21&gt;0,((4-BN21)/(SLOPE($AS21:AT21, $BC21:BD21))),"")</f>
        <v>13.934874540553517</v>
      </c>
      <c r="CI21" s="42">
        <f>IF(T21&gt;0,((4-BO21)/(SLOPE($AS21:AU21, $BC21:BE21))),"")</f>
        <v>12.686959842060915</v>
      </c>
      <c r="CJ21" s="42" t="str">
        <f>IF(U21&gt;0,((4-BP21)/(SLOPE($AS21:AV21, $BC21:BF21))),"")</f>
        <v/>
      </c>
      <c r="CK21" s="42" t="str">
        <f>IF(V21&gt;0,((4-BQ21)/(SLOPE($AS21:AW21, $BC21:BG21))),"")</f>
        <v/>
      </c>
      <c r="CL21" s="42" t="str">
        <f>IF(W21&gt;0,((4-BR21)/(SLOPE($AS21:AX21, $BC21:BH21))),"")</f>
        <v/>
      </c>
      <c r="CM21" s="42" t="str">
        <f>IF(X21&gt;0,((4-BS21)/(SLOPE($AS21:AY21, $BC21:BI21))),"")</f>
        <v/>
      </c>
      <c r="CN21" s="42" t="str">
        <f>IF(Y21&gt;0,((4-BT21)/(SLOPE($AS21:AZ21, $BC21:BJ21))),"")</f>
        <v/>
      </c>
      <c r="CO21" s="42" t="str">
        <f>IF(Z21&gt;0,((4-BU21)/(SLOPE($AS21:BA21, $BC21:BK21))),"")</f>
        <v/>
      </c>
    </row>
    <row r="22" spans="1:93">
      <c r="A22" s="42">
        <v>39</v>
      </c>
      <c r="B22" s="123" t="s">
        <v>589</v>
      </c>
      <c r="C22" s="46" t="s">
        <v>132</v>
      </c>
      <c r="D22" s="46" t="s">
        <v>458</v>
      </c>
      <c r="E22" s="45" t="s">
        <v>61</v>
      </c>
      <c r="F22" s="52" t="s">
        <v>63</v>
      </c>
      <c r="G22" s="52"/>
      <c r="H22" s="52" t="s">
        <v>136</v>
      </c>
      <c r="I22" s="52" t="s">
        <v>590</v>
      </c>
      <c r="J22" s="46" t="s">
        <v>544</v>
      </c>
      <c r="K22" s="46"/>
      <c r="L22" s="46"/>
      <c r="M22" s="72" cm="1">
        <f t="array" ref="M22">LOOKUP(2,1/(ISNUMBER(BX22:CE22)),BX22:CE22)</f>
        <v>-3.6539360723385809E-2</v>
      </c>
      <c r="N22" s="72" cm="1">
        <f t="array" ref="N22">LOOKUP(2,1/(ISNUMBER(CH22:CO22)),CH22:CO22)</f>
        <v>64.708367795458187</v>
      </c>
      <c r="O22" s="58">
        <v>12533333333.333334</v>
      </c>
      <c r="P22" s="58">
        <v>4406056437.8288832</v>
      </c>
      <c r="Q22" s="59">
        <f t="shared" si="0"/>
        <v>1.0822023826941694</v>
      </c>
      <c r="R22" s="60">
        <v>920000</v>
      </c>
      <c r="S22" s="60">
        <v>145000</v>
      </c>
      <c r="T22" s="60">
        <v>165000</v>
      </c>
      <c r="U22" s="60">
        <v>94100</v>
      </c>
      <c r="V22" s="60">
        <v>57200</v>
      </c>
      <c r="W22" s="47"/>
      <c r="X22" s="47"/>
      <c r="Y22" s="47"/>
      <c r="Z22" s="47">
        <v>21400</v>
      </c>
      <c r="AA22" s="73">
        <v>0.10714285714285714</v>
      </c>
      <c r="AB22" s="47"/>
      <c r="AC22" s="47"/>
      <c r="AD22" s="47"/>
      <c r="AE22" s="47"/>
      <c r="AF22" s="47"/>
      <c r="AG22" s="47"/>
      <c r="AH22" s="47"/>
      <c r="AI22" s="47"/>
      <c r="AJ22" s="61">
        <v>44956</v>
      </c>
      <c r="AK22" s="61">
        <v>44963</v>
      </c>
      <c r="AL22" s="61">
        <v>44970</v>
      </c>
      <c r="AM22" s="61">
        <v>44978</v>
      </c>
      <c r="AN22" s="61">
        <v>44984</v>
      </c>
      <c r="AO22" s="117"/>
      <c r="AP22" s="117"/>
      <c r="AQ22" s="117"/>
      <c r="AR22" s="48">
        <v>45013</v>
      </c>
      <c r="AS22" s="42">
        <f t="shared" si="1"/>
        <v>5.9637878273455556</v>
      </c>
      <c r="AT22" s="42">
        <f t="shared" si="2"/>
        <v>5.1613680022349753</v>
      </c>
      <c r="AU22" s="42">
        <f t="shared" si="3"/>
        <v>5.2174839442139067</v>
      </c>
      <c r="AV22" s="42">
        <f t="shared" si="4"/>
        <v>4.973589623427257</v>
      </c>
      <c r="AW22" s="42">
        <f t="shared" si="5"/>
        <v>4.7573960287930239</v>
      </c>
      <c r="AX22" s="42" t="str">
        <f t="shared" si="8"/>
        <v/>
      </c>
      <c r="AY22" s="42" t="str">
        <f t="shared" si="6"/>
        <v/>
      </c>
      <c r="AZ22" s="42" t="str">
        <f t="shared" si="7"/>
        <v/>
      </c>
      <c r="BA22" s="42">
        <f t="shared" si="9"/>
        <v>4.330413773349191</v>
      </c>
      <c r="BC22" s="42">
        <f t="shared" si="14"/>
        <v>0</v>
      </c>
      <c r="BD22" s="42">
        <f t="shared" si="15"/>
        <v>7</v>
      </c>
      <c r="BE22" s="42">
        <f t="shared" si="16"/>
        <v>14</v>
      </c>
      <c r="BF22" s="42">
        <f t="shared" si="17"/>
        <v>22</v>
      </c>
      <c r="BG22" s="42">
        <f t="shared" si="18"/>
        <v>28</v>
      </c>
      <c r="BH22" s="42" t="str">
        <f t="shared" si="10"/>
        <v/>
      </c>
      <c r="BI22" s="42" t="str">
        <f t="shared" si="11"/>
        <v/>
      </c>
      <c r="BJ22" s="42" t="str">
        <f t="shared" si="12"/>
        <v/>
      </c>
      <c r="BK22" s="42">
        <f t="shared" si="13"/>
        <v>57</v>
      </c>
      <c r="BN22" s="42">
        <f>INTERCEPT($AS22:AT22,$BC22:BD22)</f>
        <v>5.9637878273455556</v>
      </c>
      <c r="BO22" s="42">
        <f>INTERCEPT($AS22:AU22,$BC22:BE22)</f>
        <v>5.8206985328306375</v>
      </c>
      <c r="BP22" s="42">
        <f>INTERCEPT($AS22:AV22,$BC22:BF22)</f>
        <v>5.7544689257009667</v>
      </c>
      <c r="BQ22" s="42">
        <f>INTERCEPT($AS22:AW22,$BC22:BG22)</f>
        <v>5.7335840074750228</v>
      </c>
      <c r="BR22" s="42">
        <f>INTERCEPT($AS22:AX22,$BC22:BH22)</f>
        <v>5.7335840074750228</v>
      </c>
      <c r="BS22" s="42">
        <f>INTERCEPT($AS22:AY22,$BC22:BI22)</f>
        <v>5.7335840074750228</v>
      </c>
      <c r="BT22" s="42">
        <f>INTERCEPT($AS22:AZ22,$BC22:BJ22)</f>
        <v>5.7335840074750228</v>
      </c>
      <c r="BU22" s="42">
        <f>INTERCEPT($AS22:BA22,$BC22:BK22)</f>
        <v>5.5922943117998063</v>
      </c>
      <c r="BX22" s="42">
        <f t="shared" si="19"/>
        <v>-0.11463140358722576</v>
      </c>
      <c r="BY22" s="42">
        <f t="shared" si="20"/>
        <v>-5.3307420223689207E-2</v>
      </c>
      <c r="BZ22" s="42">
        <f t="shared" si="24"/>
        <v>-3.9573169897259758E-2</v>
      </c>
      <c r="CA22" s="42">
        <f t="shared" si="25"/>
        <v>-3.6539360723385809E-2</v>
      </c>
      <c r="CB22" s="42" t="str">
        <f t="shared" si="26"/>
        <v/>
      </c>
      <c r="CC22" s="42" t="str">
        <f t="shared" si="21"/>
        <v/>
      </c>
      <c r="CD22" s="42" t="str">
        <f t="shared" si="22"/>
        <v/>
      </c>
      <c r="CE22" s="42" t="str">
        <f t="shared" si="23"/>
        <v/>
      </c>
      <c r="CH22" s="42">
        <f>IF(S22&gt;0,((4-BN22)/(SLOPE($AS22:AT22, $BC22:BD22))),"")</f>
        <v>17.131324976329569</v>
      </c>
      <c r="CI22" s="42">
        <f>IF(T22&gt;0,((4-BO22)/(SLOPE($AS22:AU22, $BC22:BE22))),"")</f>
        <v>34.154692258424838</v>
      </c>
      <c r="CJ22" s="42">
        <f>IF(U22&gt;0,((4-BP22)/(SLOPE($AS22:AV22, $BC22:BF22))),"")</f>
        <v>44.334808918667264</v>
      </c>
      <c r="CK22" s="42">
        <f>IF(V22&gt;0,((4-BQ22)/(SLOPE($AS22:AW22, $BC22:BG22))),"")</f>
        <v>47.444289477278666</v>
      </c>
      <c r="CL22" s="42" t="str">
        <f>IF(W22&gt;0,((4-BR22)/(SLOPE($AS22:AX22, $BC22:BH22))),"")</f>
        <v/>
      </c>
      <c r="CM22" s="42" t="str">
        <f>IF(X22&gt;0,((4-BS22)/(SLOPE($AS22:AY22, $BC22:BI22))),"")</f>
        <v/>
      </c>
      <c r="CN22" s="42" t="str">
        <f>IF(Y22&gt;0,((4-BT22)/(SLOPE($AS22:AZ22, $BC22:BJ22))),"")</f>
        <v/>
      </c>
      <c r="CO22" s="42">
        <f>IF(Z22&gt;0,((4-BU22)/(SLOPE($AS22:BA22, $BC22:BK22))),"")</f>
        <v>64.708367795458187</v>
      </c>
    </row>
    <row r="23" spans="1:93">
      <c r="A23" s="42">
        <v>41</v>
      </c>
      <c r="B23" s="123" t="s">
        <v>589</v>
      </c>
      <c r="C23" s="46" t="s">
        <v>139</v>
      </c>
      <c r="D23" s="46" t="s">
        <v>461</v>
      </c>
      <c r="E23" s="45" t="s">
        <v>61</v>
      </c>
      <c r="F23" s="52" t="s">
        <v>54</v>
      </c>
      <c r="G23" s="52"/>
      <c r="H23" s="52" t="s">
        <v>136</v>
      </c>
      <c r="I23" s="52" t="s">
        <v>590</v>
      </c>
      <c r="J23" s="46" t="s">
        <v>544</v>
      </c>
      <c r="K23" s="46"/>
      <c r="L23" s="46"/>
      <c r="M23" s="72" cm="1">
        <f t="array" ref="M23">LOOKUP(2,1/(ISNUMBER(BX23:CE23)),BX23:CE23)</f>
        <v>-1.7580534619965092E-2</v>
      </c>
      <c r="N23" s="72" cm="1">
        <f t="array" ref="N23">LOOKUP(2,1/(ISNUMBER(CH23:CO23)),CH23:CO23)</f>
        <v>46.570467268119494</v>
      </c>
      <c r="O23" s="58">
        <v>4280000000</v>
      </c>
      <c r="P23" s="58">
        <v>1549709650.2248414</v>
      </c>
      <c r="Q23" s="59">
        <f t="shared" si="0"/>
        <v>1.6448689376013306</v>
      </c>
      <c r="R23" s="60">
        <v>86000</v>
      </c>
      <c r="S23" s="60">
        <v>61100</v>
      </c>
      <c r="T23" s="60">
        <v>14000</v>
      </c>
      <c r="U23" s="60">
        <v>37200</v>
      </c>
      <c r="V23" s="60">
        <v>25600</v>
      </c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61">
        <v>44956</v>
      </c>
      <c r="AK23" s="61">
        <v>44963</v>
      </c>
      <c r="AL23" s="61">
        <v>44970</v>
      </c>
      <c r="AM23" s="61">
        <v>44978</v>
      </c>
      <c r="AN23" s="61">
        <v>44984</v>
      </c>
      <c r="AO23" s="117"/>
      <c r="AP23" s="117"/>
      <c r="AQ23" s="117"/>
      <c r="AR23" s="48"/>
      <c r="AS23" s="42">
        <f t="shared" si="1"/>
        <v>4.9344984512435675</v>
      </c>
      <c r="AT23" s="42">
        <f t="shared" si="2"/>
        <v>4.786041210242554</v>
      </c>
      <c r="AU23" s="42">
        <f t="shared" si="3"/>
        <v>4.1461280356782382</v>
      </c>
      <c r="AV23" s="42">
        <f t="shared" si="4"/>
        <v>4.5705429398818973</v>
      </c>
      <c r="AW23" s="42">
        <f t="shared" si="5"/>
        <v>4.4082399653118491</v>
      </c>
      <c r="AX23" s="42" t="str">
        <f t="shared" si="8"/>
        <v/>
      </c>
      <c r="AY23" s="42" t="str">
        <f t="shared" si="6"/>
        <v/>
      </c>
      <c r="AZ23" s="42" t="str">
        <f t="shared" si="7"/>
        <v/>
      </c>
      <c r="BA23" s="42" t="str">
        <f t="shared" si="9"/>
        <v/>
      </c>
      <c r="BC23" s="42">
        <f t="shared" si="14"/>
        <v>0</v>
      </c>
      <c r="BD23" s="42">
        <f t="shared" si="15"/>
        <v>7</v>
      </c>
      <c r="BE23" s="42">
        <f t="shared" si="16"/>
        <v>14</v>
      </c>
      <c r="BF23" s="42">
        <f t="shared" si="17"/>
        <v>22</v>
      </c>
      <c r="BG23" s="42">
        <f t="shared" si="18"/>
        <v>28</v>
      </c>
      <c r="BH23" s="42" t="str">
        <f t="shared" si="10"/>
        <v/>
      </c>
      <c r="BI23" s="42" t="str">
        <f t="shared" si="11"/>
        <v/>
      </c>
      <c r="BJ23" s="42" t="str">
        <f t="shared" si="12"/>
        <v/>
      </c>
      <c r="BK23" s="42" t="str">
        <f t="shared" si="13"/>
        <v/>
      </c>
      <c r="BN23" s="42">
        <f>INTERCEPT($AS23:AT23,$BC23:BD23)</f>
        <v>4.9344984512435675</v>
      </c>
      <c r="BO23" s="42">
        <f>INTERCEPT($AS23:AU23,$BC23:BE23)</f>
        <v>5.0164077735041186</v>
      </c>
      <c r="BP23" s="42">
        <f>INTERCEPT($AS23:AV23,$BC23:BF23)</f>
        <v>4.8551316321622666</v>
      </c>
      <c r="BQ23" s="42">
        <f>INTERCEPT($AS23:AW23,$BC23:BG23)</f>
        <v>4.8187337120751259</v>
      </c>
      <c r="BR23" s="42">
        <f>INTERCEPT($AS23:AX23,$BC23:BH23)</f>
        <v>4.8187337120751259</v>
      </c>
      <c r="BS23" s="42">
        <f>INTERCEPT($AS23:AY23,$BC23:BI23)</f>
        <v>4.8187337120751259</v>
      </c>
      <c r="BT23" s="42">
        <f>INTERCEPT($AS23:AZ23,$BC23:BJ23)</f>
        <v>4.8187337120751259</v>
      </c>
      <c r="BU23" s="42">
        <f>INTERCEPT($AS23:BA23,$BC23:BK23)</f>
        <v>4.8187337120751259</v>
      </c>
      <c r="BX23" s="42">
        <f t="shared" si="19"/>
        <v>-2.120817728585906E-2</v>
      </c>
      <c r="BY23" s="42">
        <f t="shared" si="20"/>
        <v>-5.6312172540380664E-2</v>
      </c>
      <c r="BZ23" s="42">
        <f t="shared" si="24"/>
        <v>-2.2867811432623463E-2</v>
      </c>
      <c r="CA23" s="42">
        <f t="shared" si="25"/>
        <v>-1.7580534619965092E-2</v>
      </c>
      <c r="CB23" s="42" t="str">
        <f t="shared" si="26"/>
        <v/>
      </c>
      <c r="CC23" s="42" t="str">
        <f t="shared" si="21"/>
        <v/>
      </c>
      <c r="CD23" s="42" t="str">
        <f t="shared" si="22"/>
        <v/>
      </c>
      <c r="CE23" s="42" t="str">
        <f t="shared" si="23"/>
        <v/>
      </c>
      <c r="CH23" s="42">
        <f>IF(S23&gt;0,((4-BN23)/(SLOPE($AS23:AT23, $BC23:BD23))),"")</f>
        <v>44.063119552789736</v>
      </c>
      <c r="CI23" s="42">
        <f>IF(T23&gt;0,((4-BO23)/(SLOPE($AS23:AU23, $BC23:BE23))),"")</f>
        <v>18.04952158035222</v>
      </c>
      <c r="CJ23" s="42">
        <f>IF(U23&gt;0,((4-BP23)/(SLOPE($AS23:AV23, $BC23:BF23))),"")</f>
        <v>37.394554991927507</v>
      </c>
      <c r="CK23" s="42">
        <f>IF(V23&gt;0,((4-BQ23)/(SLOPE($AS23:AW23, $BC23:BG23))),"")</f>
        <v>46.570467268119494</v>
      </c>
      <c r="CL23" s="42" t="str">
        <f>IF(W23&gt;0,((4-BR23)/(SLOPE($AS23:AX23, $BC23:BH23))),"")</f>
        <v/>
      </c>
      <c r="CM23" s="42" t="str">
        <f>IF(X23&gt;0,((4-BS23)/(SLOPE($AS23:AY23, $BC23:BI23))),"")</f>
        <v/>
      </c>
      <c r="CN23" s="42" t="str">
        <f>IF(Y23&gt;0,((4-BT23)/(SLOPE($AS23:AZ23, $BC23:BJ23))),"")</f>
        <v/>
      </c>
      <c r="CO23" s="42" t="str">
        <f>IF(Z23&gt;0,((4-BU23)/(SLOPE($AS23:BA23, $BC23:BK23))),"")</f>
        <v/>
      </c>
    </row>
    <row r="24" spans="1:93">
      <c r="A24" s="42">
        <v>42</v>
      </c>
      <c r="B24" s="123" t="s">
        <v>589</v>
      </c>
      <c r="C24" s="46" t="s">
        <v>142</v>
      </c>
      <c r="D24" s="46" t="s">
        <v>462</v>
      </c>
      <c r="E24" s="45" t="s">
        <v>61</v>
      </c>
      <c r="F24" s="52" t="s">
        <v>63</v>
      </c>
      <c r="G24" s="52"/>
      <c r="H24" s="52" t="s">
        <v>145</v>
      </c>
      <c r="I24" s="52" t="s">
        <v>463</v>
      </c>
      <c r="J24" s="46" t="s">
        <v>544</v>
      </c>
      <c r="K24" s="46"/>
      <c r="L24" s="46"/>
      <c r="M24" s="72" cm="1">
        <f t="array" ref="M24">LOOKUP(2,1/(ISNUMBER(BX24:CE24)),BX24:CE24)</f>
        <v>-2.1706594445576148E-2</v>
      </c>
      <c r="N24" s="72" cm="1">
        <f t="array" ref="N24">LOOKUP(2,1/(ISNUMBER(CH24:CO24)),CH24:CO24)</f>
        <v>73.234540374682979</v>
      </c>
      <c r="O24" s="58">
        <v>10653333333.333334</v>
      </c>
      <c r="P24" s="58">
        <v>1102965699.0737896</v>
      </c>
      <c r="Q24" s="59">
        <f t="shared" si="0"/>
        <v>1.3117082103643698</v>
      </c>
      <c r="R24" s="60">
        <v>461000</v>
      </c>
      <c r="S24" s="60">
        <v>312000</v>
      </c>
      <c r="T24" s="60">
        <v>263000</v>
      </c>
      <c r="U24" s="60">
        <v>137000</v>
      </c>
      <c r="V24" s="60">
        <v>119000</v>
      </c>
      <c r="W24" s="47"/>
      <c r="X24" s="47"/>
      <c r="Y24" s="47"/>
      <c r="Z24" s="47">
        <v>22800</v>
      </c>
      <c r="AA24" s="73">
        <v>0.10714285714285714</v>
      </c>
      <c r="AB24" s="47"/>
      <c r="AC24" s="47"/>
      <c r="AD24" s="47"/>
      <c r="AE24" s="47"/>
      <c r="AF24" s="47"/>
      <c r="AG24" s="47"/>
      <c r="AH24" s="47"/>
      <c r="AI24" s="47"/>
      <c r="AJ24" s="61">
        <v>44956</v>
      </c>
      <c r="AK24" s="61">
        <v>44963</v>
      </c>
      <c r="AL24" s="61">
        <v>44970</v>
      </c>
      <c r="AM24" s="61">
        <v>44978</v>
      </c>
      <c r="AN24" s="61">
        <v>44984</v>
      </c>
      <c r="AO24" s="117"/>
      <c r="AP24" s="117"/>
      <c r="AQ24" s="117"/>
      <c r="AR24" s="48">
        <v>45013</v>
      </c>
      <c r="AS24" s="42">
        <f t="shared" si="1"/>
        <v>5.663700925389648</v>
      </c>
      <c r="AT24" s="42">
        <f t="shared" si="2"/>
        <v>5.4941545940184424</v>
      </c>
      <c r="AU24" s="42">
        <f t="shared" si="3"/>
        <v>5.419955748489758</v>
      </c>
      <c r="AV24" s="42">
        <f t="shared" si="4"/>
        <v>5.1367205671564067</v>
      </c>
      <c r="AW24" s="42">
        <f t="shared" si="5"/>
        <v>5.075546961392531</v>
      </c>
      <c r="AX24" s="42" t="str">
        <f t="shared" si="8"/>
        <v/>
      </c>
      <c r="AY24" s="42" t="str">
        <f t="shared" si="6"/>
        <v/>
      </c>
      <c r="AZ24" s="42" t="str">
        <f t="shared" si="7"/>
        <v/>
      </c>
      <c r="BA24" s="42">
        <f t="shared" si="9"/>
        <v>4.357934847000454</v>
      </c>
      <c r="BC24" s="42">
        <f t="shared" si="14"/>
        <v>0</v>
      </c>
      <c r="BD24" s="42">
        <f t="shared" si="15"/>
        <v>7</v>
      </c>
      <c r="BE24" s="42">
        <f t="shared" si="16"/>
        <v>14</v>
      </c>
      <c r="BF24" s="42">
        <f t="shared" si="17"/>
        <v>22</v>
      </c>
      <c r="BG24" s="42">
        <f t="shared" si="18"/>
        <v>28</v>
      </c>
      <c r="BH24" s="42" t="str">
        <f t="shared" si="10"/>
        <v/>
      </c>
      <c r="BI24" s="42" t="str">
        <f t="shared" si="11"/>
        <v/>
      </c>
      <c r="BJ24" s="42" t="str">
        <f t="shared" si="12"/>
        <v/>
      </c>
      <c r="BK24" s="42">
        <f t="shared" si="13"/>
        <v>57</v>
      </c>
      <c r="BN24" s="42">
        <f>INTERCEPT($AS24:AT24,$BC24:BD24)</f>
        <v>5.663700925389648</v>
      </c>
      <c r="BO24" s="42">
        <f>INTERCEPT($AS24:AU24,$BC24:BE24)</f>
        <v>5.6478096777492279</v>
      </c>
      <c r="BP24" s="42">
        <f>INTERCEPT($AS24:AV24,$BC24:BF24)</f>
        <v>5.6738539436121895</v>
      </c>
      <c r="BQ24" s="42">
        <f>INTERCEPT($AS24:AW24,$BC24:BG24)</f>
        <v>5.6662494004165378</v>
      </c>
      <c r="BR24" s="42">
        <f>INTERCEPT($AS24:AX24,$BC24:BH24)</f>
        <v>5.6662494004165378</v>
      </c>
      <c r="BS24" s="42">
        <f>INTERCEPT($AS24:AY24,$BC24:BI24)</f>
        <v>5.6662494004165378</v>
      </c>
      <c r="BT24" s="42">
        <f>INTERCEPT($AS24:AZ24,$BC24:BJ24)</f>
        <v>5.6662494004165378</v>
      </c>
      <c r="BU24" s="42">
        <f>INTERCEPT($AS24:BA24,$BC24:BK24)</f>
        <v>5.6810190090337214</v>
      </c>
      <c r="BX24" s="42">
        <f t="shared" si="19"/>
        <v>-2.4220904481600795E-2</v>
      </c>
      <c r="BY24" s="42">
        <f t="shared" si="20"/>
        <v>-1.7410369778563566E-2</v>
      </c>
      <c r="BZ24" s="42">
        <f t="shared" si="24"/>
        <v>-2.2811254404523286E-2</v>
      </c>
      <c r="CA24" s="42">
        <f t="shared" si="25"/>
        <v>-2.1706594445576148E-2</v>
      </c>
      <c r="CB24" s="42" t="str">
        <f t="shared" si="26"/>
        <v/>
      </c>
      <c r="CC24" s="42" t="str">
        <f t="shared" si="21"/>
        <v/>
      </c>
      <c r="CD24" s="42" t="str">
        <f t="shared" si="22"/>
        <v/>
      </c>
      <c r="CE24" s="42" t="str">
        <f t="shared" si="23"/>
        <v/>
      </c>
      <c r="CH24" s="42">
        <f>IF(S24&gt;0,((4-BN24)/(SLOPE($AS24:AT24, $BC24:BD24))),"")</f>
        <v>68.688637398056883</v>
      </c>
      <c r="CI24" s="42">
        <f>IF(T24&gt;0,((4-BO24)/(SLOPE($AS24:AU24, $BC24:BE24))),"")</f>
        <v>94.645300398966</v>
      </c>
      <c r="CJ24" s="42">
        <f>IF(U24&gt;0,((4-BP24)/(SLOPE($AS24:AV24, $BC24:BF24))),"")</f>
        <v>73.378426014146683</v>
      </c>
      <c r="CK24" s="42">
        <f>IF(V24&gt;0,((4-BQ24)/(SLOPE($AS24:AW24, $BC24:BG24))),"")</f>
        <v>76.762359226558601</v>
      </c>
      <c r="CL24" s="42" t="str">
        <f>IF(W24&gt;0,((4-BR24)/(SLOPE($AS24:AX24, $BC24:BH24))),"")</f>
        <v/>
      </c>
      <c r="CM24" s="42" t="str">
        <f>IF(X24&gt;0,((4-BS24)/(SLOPE($AS24:AY24, $BC24:BI24))),"")</f>
        <v/>
      </c>
      <c r="CN24" s="42" t="str">
        <f>IF(Y24&gt;0,((4-BT24)/(SLOPE($AS24:AZ24, $BC24:BJ24))),"")</f>
        <v/>
      </c>
      <c r="CO24" s="42">
        <f>IF(Z24&gt;0,((4-BU24)/(SLOPE($AS24:BA24, $BC24:BK24))),"")</f>
        <v>73.234540374682979</v>
      </c>
    </row>
    <row r="25" spans="1:93">
      <c r="A25" s="42">
        <v>53</v>
      </c>
      <c r="B25" s="123" t="s">
        <v>589</v>
      </c>
      <c r="C25" s="46" t="s">
        <v>147</v>
      </c>
      <c r="D25" s="46" t="s">
        <v>464</v>
      </c>
      <c r="E25" s="45" t="s">
        <v>61</v>
      </c>
      <c r="F25" s="52" t="s">
        <v>54</v>
      </c>
      <c r="G25" s="52"/>
      <c r="H25" s="52" t="s">
        <v>145</v>
      </c>
      <c r="I25" s="52" t="s">
        <v>463</v>
      </c>
      <c r="J25" s="46" t="s">
        <v>544</v>
      </c>
      <c r="K25" s="46"/>
      <c r="L25" s="46"/>
      <c r="M25" s="72" cm="1">
        <f t="array" ref="M25">LOOKUP(2,1/(ISNUMBER(BX25:CE25)),BX25:CE25)</f>
        <v>-1.5179722962492415E-2</v>
      </c>
      <c r="N25" s="72" cm="1">
        <f t="array" ref="N25">LOOKUP(2,1/(ISNUMBER(CH25:CO25)),CH25:CO25)</f>
        <v>99.585857901510039</v>
      </c>
      <c r="O25" s="58">
        <v>12933333333.333334</v>
      </c>
      <c r="P25" s="58">
        <v>3002221399.7860556</v>
      </c>
      <c r="Q25" s="59">
        <f t="shared" si="0"/>
        <v>1.5094057376511767</v>
      </c>
      <c r="R25" s="60">
        <v>355000</v>
      </c>
      <c r="S25" s="60">
        <v>216000</v>
      </c>
      <c r="T25" s="60">
        <v>192000</v>
      </c>
      <c r="U25" s="60">
        <v>97500</v>
      </c>
      <c r="V25" s="60">
        <v>107000</v>
      </c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61">
        <v>44956</v>
      </c>
      <c r="AK25" s="61">
        <v>44963</v>
      </c>
      <c r="AL25" s="61">
        <v>44970</v>
      </c>
      <c r="AM25" s="61">
        <v>44978</v>
      </c>
      <c r="AN25" s="61">
        <v>44984</v>
      </c>
      <c r="AO25" s="117"/>
      <c r="AP25" s="117"/>
      <c r="AQ25" s="117"/>
      <c r="AR25" s="48"/>
      <c r="AS25" s="42">
        <f t="shared" ref="AS25:AS56" si="27">IF(R25&gt;0,(LOG(R25)),"")</f>
        <v>5.5502283530550942</v>
      </c>
      <c r="AT25" s="42">
        <f t="shared" ref="AT25:AT56" si="28">IF(S25&gt;0,(LOG(S25)),"")</f>
        <v>5.3344537511509307</v>
      </c>
      <c r="AU25" s="42">
        <f t="shared" ref="AU25:AU56" si="29">IF(T25&gt;0,(LOG(T25)),"")</f>
        <v>5.2833012287035492</v>
      </c>
      <c r="AV25" s="42">
        <f t="shared" ref="AV25:AV30" si="30">IF(T25&gt;0,(LOG(T25)),"")</f>
        <v>5.2833012287035492</v>
      </c>
      <c r="AW25" s="42">
        <f t="shared" ref="AW25:AW43" si="31">IF(V25&gt;0,(LOG(V25)),"")</f>
        <v>5.0293837776852097</v>
      </c>
      <c r="AX25" s="42" t="str">
        <f t="shared" si="8"/>
        <v/>
      </c>
      <c r="AY25" s="42" t="str">
        <f t="shared" si="6"/>
        <v/>
      </c>
      <c r="AZ25" s="42" t="str">
        <f t="shared" si="7"/>
        <v/>
      </c>
      <c r="BA25" s="42" t="str">
        <f t="shared" si="9"/>
        <v/>
      </c>
      <c r="BC25" s="42">
        <f t="shared" si="14"/>
        <v>0</v>
      </c>
      <c r="BD25" s="42">
        <f t="shared" si="15"/>
        <v>7</v>
      </c>
      <c r="BE25" s="42">
        <f t="shared" si="16"/>
        <v>14</v>
      </c>
      <c r="BF25" s="42">
        <f t="shared" si="17"/>
        <v>22</v>
      </c>
      <c r="BG25" s="42">
        <f t="shared" si="18"/>
        <v>28</v>
      </c>
      <c r="BH25" s="42" t="str">
        <f t="shared" si="10"/>
        <v/>
      </c>
      <c r="BI25" s="42" t="str">
        <f t="shared" si="11"/>
        <v/>
      </c>
      <c r="BJ25" s="42" t="str">
        <f t="shared" si="12"/>
        <v/>
      </c>
      <c r="BK25" s="42" t="str">
        <f t="shared" si="13"/>
        <v/>
      </c>
      <c r="BN25" s="42">
        <f>INTERCEPT($AS25:AT25,$BC25:BD25)</f>
        <v>5.5502283530550942</v>
      </c>
      <c r="BO25" s="42">
        <f>INTERCEPT($AS25:AU25,$BC25:BE25)</f>
        <v>5.5227913398122972</v>
      </c>
      <c r="BP25" s="42">
        <f>INTERCEPT($AS25:AV25,$BC25:BF25)</f>
        <v>5.4861907818991966</v>
      </c>
      <c r="BQ25" s="42">
        <f>INTERCEPT($AS25:AW25,$BC25:BG25)</f>
        <v>5.5116857339270586</v>
      </c>
      <c r="BR25" s="42">
        <f>INTERCEPT($AS25:AX25,$BC25:BH25)</f>
        <v>5.5116857339270586</v>
      </c>
      <c r="BS25" s="42">
        <f>INTERCEPT($AS25:AY25,$BC25:BI25)</f>
        <v>5.5116857339270586</v>
      </c>
      <c r="BT25" s="42">
        <f>INTERCEPT($AS25:AZ25,$BC25:BJ25)</f>
        <v>5.5116857339270586</v>
      </c>
      <c r="BU25" s="42">
        <f>INTERCEPT($AS25:BA25,$BC25:BK25)</f>
        <v>5.5116857339270586</v>
      </c>
      <c r="BX25" s="42">
        <f t="shared" si="19"/>
        <v>-3.082494312916622E-2</v>
      </c>
      <c r="BY25" s="42">
        <f t="shared" si="20"/>
        <v>-1.9066223167967498E-2</v>
      </c>
      <c r="BZ25" s="42">
        <f t="shared" si="24"/>
        <v>-1.1476245720550286E-2</v>
      </c>
      <c r="CA25" s="42">
        <f t="shared" si="25"/>
        <v>-1.5179722962492415E-2</v>
      </c>
      <c r="CB25" s="42" t="str">
        <f t="shared" si="26"/>
        <v/>
      </c>
      <c r="CC25" s="42" t="str">
        <f t="shared" si="21"/>
        <v/>
      </c>
      <c r="CD25" s="42" t="str">
        <f t="shared" si="22"/>
        <v/>
      </c>
      <c r="CE25" s="42" t="str">
        <f t="shared" si="23"/>
        <v/>
      </c>
      <c r="CH25" s="42">
        <f>IF(S25&gt;0,((4-BN25)/(SLOPE($AS25:AT25, $BC25:BD25))),"")</f>
        <v>50.291361335498628</v>
      </c>
      <c r="CI25" s="42">
        <f>IF(T25&gt;0,((4-BO25)/(SLOPE($AS25:AU25, $BC25:BE25))),"")</f>
        <v>79.868536437289066</v>
      </c>
      <c r="CJ25" s="42">
        <f>IF(U25&gt;0,((4-BP25)/(SLOPE($AS25:AV25, $BC25:BF25))),"")</f>
        <v>129.50147793000843</v>
      </c>
      <c r="CK25" s="42">
        <f>IF(V25&gt;0,((4-BQ25)/(SLOPE($AS25:AW25, $BC25:BG25))),"")</f>
        <v>99.585857901510039</v>
      </c>
      <c r="CL25" s="42" t="str">
        <f>IF(W25&gt;0,((4-BR25)/(SLOPE($AS25:AX25, $BC25:BH25))),"")</f>
        <v/>
      </c>
      <c r="CM25" s="42" t="str">
        <f>IF(X25&gt;0,((4-BS25)/(SLOPE($AS25:AY25, $BC25:BI25))),"")</f>
        <v/>
      </c>
      <c r="CN25" s="42" t="str">
        <f>IF(Y25&gt;0,((4-BT25)/(SLOPE($AS25:AZ25, $BC25:BJ25))),"")</f>
        <v/>
      </c>
      <c r="CO25" s="42" t="str">
        <f>IF(Z25&gt;0,((4-BU25)/(SLOPE($AS25:BA25, $BC25:BK25))),"")</f>
        <v/>
      </c>
    </row>
    <row r="26" spans="1:93">
      <c r="A26" s="42">
        <v>54</v>
      </c>
      <c r="B26" s="123" t="s">
        <v>589</v>
      </c>
      <c r="C26" s="46" t="s">
        <v>149</v>
      </c>
      <c r="D26" s="46" t="s">
        <v>465</v>
      </c>
      <c r="E26" s="45" t="s">
        <v>35</v>
      </c>
      <c r="F26" s="52" t="s">
        <v>63</v>
      </c>
      <c r="G26" s="52"/>
      <c r="H26" s="52" t="s">
        <v>152</v>
      </c>
      <c r="I26" s="52" t="s">
        <v>590</v>
      </c>
      <c r="J26" s="46" t="s">
        <v>544</v>
      </c>
      <c r="K26" s="46"/>
      <c r="L26" s="46"/>
      <c r="M26" s="72" cm="1">
        <f t="array" ref="M26">LOOKUP(2,1/(ISNUMBER(BX26:CE26)),BX26:CE26)</f>
        <v>-2.1565370736391299E-2</v>
      </c>
      <c r="N26" s="72" cm="1">
        <f t="array" ref="N26">LOOKUP(2,1/(ISNUMBER(CH26:CO26)),CH26:CO26)</f>
        <v>76.900510331236148</v>
      </c>
      <c r="O26" s="58">
        <v>21333333333.333332</v>
      </c>
      <c r="P26" s="58">
        <v>2052640575.7787538</v>
      </c>
      <c r="Q26" s="59">
        <f t="shared" si="0"/>
        <v>0.89677109738434435</v>
      </c>
      <c r="R26" s="60">
        <v>2400000</v>
      </c>
      <c r="S26" s="60">
        <v>308000</v>
      </c>
      <c r="T26" s="60">
        <v>693000</v>
      </c>
      <c r="U26" s="60">
        <v>335000</v>
      </c>
      <c r="V26" s="60">
        <v>265000</v>
      </c>
      <c r="W26" s="47"/>
      <c r="X26" s="47"/>
      <c r="Y26" s="47"/>
      <c r="Z26" s="47">
        <v>30500</v>
      </c>
      <c r="AA26" s="73">
        <v>0.10714285714285714</v>
      </c>
      <c r="AB26" s="47"/>
      <c r="AC26" s="47"/>
      <c r="AD26" s="47"/>
      <c r="AE26" s="47"/>
      <c r="AF26" s="47"/>
      <c r="AG26" s="47"/>
      <c r="AH26" s="47"/>
      <c r="AI26" s="47"/>
      <c r="AJ26" s="61">
        <v>44956</v>
      </c>
      <c r="AK26" s="61">
        <v>44963</v>
      </c>
      <c r="AL26" s="61">
        <v>44970</v>
      </c>
      <c r="AM26" s="61">
        <v>44978</v>
      </c>
      <c r="AN26" s="61">
        <v>44984</v>
      </c>
      <c r="AO26" s="117"/>
      <c r="AP26" s="117"/>
      <c r="AQ26" s="117"/>
      <c r="AR26" s="48">
        <v>45013</v>
      </c>
      <c r="AS26" s="42">
        <f t="shared" si="27"/>
        <v>6.3802112417116064</v>
      </c>
      <c r="AT26" s="42">
        <f t="shared" si="28"/>
        <v>5.4885507165004439</v>
      </c>
      <c r="AU26" s="42">
        <f t="shared" si="29"/>
        <v>5.8407332346118066</v>
      </c>
      <c r="AV26" s="42">
        <f t="shared" si="30"/>
        <v>5.8407332346118066</v>
      </c>
      <c r="AW26" s="42">
        <f t="shared" si="31"/>
        <v>5.4232458739368079</v>
      </c>
      <c r="AX26" s="42" t="str">
        <f t="shared" si="8"/>
        <v/>
      </c>
      <c r="AY26" s="42" t="str">
        <f t="shared" si="6"/>
        <v/>
      </c>
      <c r="AZ26" s="42" t="str">
        <f t="shared" si="7"/>
        <v/>
      </c>
      <c r="BA26" s="42">
        <f t="shared" si="9"/>
        <v>4.4842998393467859</v>
      </c>
      <c r="BC26" s="42">
        <f t="shared" si="14"/>
        <v>0</v>
      </c>
      <c r="BD26" s="42">
        <f t="shared" si="15"/>
        <v>7</v>
      </c>
      <c r="BE26" s="42">
        <f t="shared" si="16"/>
        <v>14</v>
      </c>
      <c r="BF26" s="42">
        <f t="shared" si="17"/>
        <v>22</v>
      </c>
      <c r="BG26" s="42">
        <f t="shared" si="18"/>
        <v>28</v>
      </c>
      <c r="BH26" s="42" t="str">
        <f t="shared" si="10"/>
        <v/>
      </c>
      <c r="BI26" s="42" t="str">
        <f t="shared" si="11"/>
        <v/>
      </c>
      <c r="BJ26" s="42" t="str">
        <f t="shared" si="12"/>
        <v/>
      </c>
      <c r="BK26" s="42">
        <f t="shared" si="13"/>
        <v>57</v>
      </c>
      <c r="BN26" s="42">
        <f>INTERCEPT($AS26:AT26,$BC26:BD26)</f>
        <v>6.3802112417116064</v>
      </c>
      <c r="BO26" s="42">
        <f>INTERCEPT($AS26:AU26,$BC26:BE26)</f>
        <v>6.1729040678245202</v>
      </c>
      <c r="BP26" s="42">
        <f>INTERCEPT($AS26:AV26,$BC26:BF26)</f>
        <v>6.0680484636878065</v>
      </c>
      <c r="BQ26" s="42">
        <f>INTERCEPT($AS26:AW26,$BC26:BG26)</f>
        <v>6.100923124731251</v>
      </c>
      <c r="BR26" s="42">
        <f>INTERCEPT($AS26:AX26,$BC26:BH26)</f>
        <v>6.100923124731251</v>
      </c>
      <c r="BS26" s="42">
        <f>INTERCEPT($AS26:AY26,$BC26:BI26)</f>
        <v>6.100923124731251</v>
      </c>
      <c r="BT26" s="42">
        <f>INTERCEPT($AS26:AZ26,$BC26:BJ26)</f>
        <v>6.100923124731251</v>
      </c>
      <c r="BU26" s="42">
        <f>INTERCEPT($AS26:BA26,$BC26:BK26)</f>
        <v>6.1814666418580435</v>
      </c>
      <c r="BX26" s="42">
        <f t="shared" si="19"/>
        <v>-0.12738007503016607</v>
      </c>
      <c r="BY26" s="42">
        <f t="shared" si="20"/>
        <v>-3.8534143364271412E-2</v>
      </c>
      <c r="BZ26" s="42">
        <f t="shared" si="24"/>
        <v>-1.6789893658501358E-2</v>
      </c>
      <c r="CA26" s="42">
        <f t="shared" si="25"/>
        <v>-2.1565370736391299E-2</v>
      </c>
      <c r="CB26" s="42" t="str">
        <f t="shared" si="26"/>
        <v/>
      </c>
      <c r="CC26" s="42" t="str">
        <f t="shared" si="21"/>
        <v/>
      </c>
      <c r="CD26" s="42" t="str">
        <f t="shared" si="22"/>
        <v/>
      </c>
      <c r="CE26" s="42" t="str">
        <f t="shared" si="23"/>
        <v/>
      </c>
      <c r="CH26" s="42">
        <f>IF(S26&gt;0,((4-BN26)/(SLOPE($AS26:AT26, $BC26:BD26))),"")</f>
        <v>18.685899196934262</v>
      </c>
      <c r="CI26" s="42">
        <f>IF(T26&gt;0,((4-BO26)/(SLOPE($AS26:AU26, $BC26:BE26))),"")</f>
        <v>56.389058588473041</v>
      </c>
      <c r="CJ26" s="42">
        <f>IF(U26&gt;0,((4-BP26)/(SLOPE($AS26:AV26, $BC26:BF26))),"")</f>
        <v>123.17221929756984</v>
      </c>
      <c r="CK26" s="42">
        <f>IF(V26&gt;0,((4-BQ26)/(SLOPE($AS26:AW26, $BC26:BG26))),"")</f>
        <v>97.421145706805262</v>
      </c>
      <c r="CL26" s="42" t="str">
        <f>IF(W26&gt;0,((4-BR26)/(SLOPE($AS26:AX26, $BC26:BH26))),"")</f>
        <v/>
      </c>
      <c r="CM26" s="42" t="str">
        <f>IF(X26&gt;0,((4-BS26)/(SLOPE($AS26:AY26, $BC26:BI26))),"")</f>
        <v/>
      </c>
      <c r="CN26" s="42" t="str">
        <f>IF(Y26&gt;0,((4-BT26)/(SLOPE($AS26:AZ26, $BC26:BJ26))),"")</f>
        <v/>
      </c>
      <c r="CO26" s="42">
        <f>IF(Z26&gt;0,((4-BU26)/(SLOPE($AS26:BA26, $BC26:BK26))),"")</f>
        <v>76.900510331236148</v>
      </c>
    </row>
    <row r="27" spans="1:93">
      <c r="A27" s="42">
        <v>59</v>
      </c>
      <c r="B27" s="123" t="s">
        <v>589</v>
      </c>
      <c r="C27" s="46" t="s">
        <v>154</v>
      </c>
      <c r="D27" s="46" t="s">
        <v>466</v>
      </c>
      <c r="E27" s="45" t="s">
        <v>35</v>
      </c>
      <c r="F27" s="52" t="s">
        <v>54</v>
      </c>
      <c r="G27" s="52"/>
      <c r="H27" s="52" t="s">
        <v>152</v>
      </c>
      <c r="I27" s="52" t="s">
        <v>590</v>
      </c>
      <c r="J27" s="46" t="s">
        <v>544</v>
      </c>
      <c r="K27" s="46"/>
      <c r="L27" s="46"/>
      <c r="M27" s="72" cm="1">
        <f t="array" ref="M27">LOOKUP(2,1/(ISNUMBER(BX27:CE27)),BX27:CE27)</f>
        <v>-1.3820570761300697E-2</v>
      </c>
      <c r="N27" s="72" cm="1">
        <f t="array" ref="N27">LOOKUP(2,1/(ISNUMBER(CH27:CO27)),CH27:CO27)</f>
        <v>73.05402901542395</v>
      </c>
      <c r="O27" s="58">
        <v>23466666666.666668</v>
      </c>
      <c r="P27" s="58">
        <v>611010092.66077876</v>
      </c>
      <c r="Q27" s="59">
        <f t="shared" si="0"/>
        <v>1.6371337868785885</v>
      </c>
      <c r="R27" s="60">
        <v>480000</v>
      </c>
      <c r="S27" s="60">
        <v>512000</v>
      </c>
      <c r="T27" s="60">
        <v>385000</v>
      </c>
      <c r="U27" s="60">
        <v>239000</v>
      </c>
      <c r="V27" s="60">
        <v>184000</v>
      </c>
      <c r="W27" s="47"/>
      <c r="X27" s="47"/>
      <c r="Y27" s="47"/>
      <c r="Z27" s="47">
        <v>20400</v>
      </c>
      <c r="AA27" s="73">
        <v>0.10714285714285714</v>
      </c>
      <c r="AB27" s="47"/>
      <c r="AC27" s="47"/>
      <c r="AD27" s="47"/>
      <c r="AE27" s="47"/>
      <c r="AF27" s="47"/>
      <c r="AG27" s="47"/>
      <c r="AH27" s="47"/>
      <c r="AI27" s="47"/>
      <c r="AJ27" s="61">
        <v>44957</v>
      </c>
      <c r="AK27" s="61">
        <v>44964</v>
      </c>
      <c r="AL27" s="61">
        <v>44971</v>
      </c>
      <c r="AM27" s="61">
        <v>44978</v>
      </c>
      <c r="AN27" s="61">
        <v>44984</v>
      </c>
      <c r="AO27" s="119">
        <v>44987</v>
      </c>
      <c r="AP27" s="117"/>
      <c r="AQ27" s="117"/>
      <c r="AR27" s="48">
        <v>45013</v>
      </c>
      <c r="AS27" s="42">
        <f t="shared" si="27"/>
        <v>5.6812412373755876</v>
      </c>
      <c r="AT27" s="42">
        <f t="shared" si="28"/>
        <v>5.7092699609758304</v>
      </c>
      <c r="AU27" s="42">
        <f t="shared" si="29"/>
        <v>5.585460729508501</v>
      </c>
      <c r="AV27" s="42">
        <f t="shared" si="30"/>
        <v>5.585460729508501</v>
      </c>
      <c r="AW27" s="42">
        <f t="shared" si="31"/>
        <v>5.2648178230095368</v>
      </c>
      <c r="AX27" s="42" t="str">
        <f t="shared" si="8"/>
        <v/>
      </c>
      <c r="AY27" s="42" t="str">
        <f t="shared" si="6"/>
        <v/>
      </c>
      <c r="AZ27" s="42" t="str">
        <f t="shared" si="7"/>
        <v/>
      </c>
      <c r="BA27" s="42">
        <f t="shared" si="9"/>
        <v>4.3096301674258983</v>
      </c>
      <c r="BC27" s="42">
        <f t="shared" si="14"/>
        <v>0</v>
      </c>
      <c r="BD27" s="42">
        <f t="shared" si="15"/>
        <v>7</v>
      </c>
      <c r="BE27" s="42">
        <f t="shared" si="16"/>
        <v>14</v>
      </c>
      <c r="BF27" s="42">
        <f t="shared" si="17"/>
        <v>21</v>
      </c>
      <c r="BG27" s="42">
        <f t="shared" si="18"/>
        <v>27</v>
      </c>
      <c r="BH27" s="42">
        <f t="shared" si="10"/>
        <v>30</v>
      </c>
      <c r="BI27" s="42" t="str">
        <f t="shared" si="11"/>
        <v/>
      </c>
      <c r="BJ27" s="42" t="str">
        <f t="shared" si="12"/>
        <v/>
      </c>
      <c r="BK27" s="42">
        <f t="shared" si="13"/>
        <v>56</v>
      </c>
      <c r="BN27" s="42">
        <f>INTERCEPT($AS27:AT27,$BC27:BD27)</f>
        <v>5.6812412373755885</v>
      </c>
      <c r="BO27" s="42">
        <f>INTERCEPT($AS27:AU27,$BC27:BE27)</f>
        <v>5.706547563220183</v>
      </c>
      <c r="BP27" s="42">
        <f>INTERCEPT($AS27:AV27,$BC27:BF27)</f>
        <v>5.7020307776023937</v>
      </c>
      <c r="BQ27" s="42">
        <f>INTERCEPT($AS27:AW27,$BC27:BG27)</f>
        <v>5.7559739725815415</v>
      </c>
      <c r="BR27" s="42">
        <f>INTERCEPT($AS27:AX27,$BC27:BH27)</f>
        <v>5.7559739725815415</v>
      </c>
      <c r="BS27" s="42">
        <f>INTERCEPT($AS27:AY27,$BC27:BI27)</f>
        <v>5.7559739725815415</v>
      </c>
      <c r="BT27" s="42">
        <f>INTERCEPT($AS27:AZ27,$BC27:BJ27)</f>
        <v>5.7559739725815415</v>
      </c>
      <c r="BU27" s="42">
        <f>INTERCEPT($AS27:BA27,$BC27:BK27)</f>
        <v>5.8969454324170298</v>
      </c>
      <c r="BX27" s="42">
        <f t="shared" si="19"/>
        <v>4.0041033714632536E-3</v>
      </c>
      <c r="BY27" s="42">
        <f t="shared" si="20"/>
        <v>-6.8414648476490415E-3</v>
      </c>
      <c r="BZ27" s="42">
        <f t="shared" si="24"/>
        <v>-5.8735822152655584E-3</v>
      </c>
      <c r="CA27" s="42">
        <f t="shared" si="25"/>
        <v>-1.3820570761300697E-2</v>
      </c>
      <c r="CB27" s="42" t="str">
        <f t="shared" si="26"/>
        <v/>
      </c>
      <c r="CC27" s="42" t="str">
        <f t="shared" si="21"/>
        <v/>
      </c>
      <c r="CD27" s="42" t="str">
        <f t="shared" si="22"/>
        <v/>
      </c>
      <c r="CE27" s="42" t="str">
        <f t="shared" si="23"/>
        <v/>
      </c>
      <c r="CH27" s="42">
        <f>IF(S27&gt;0,((4-BN27)/(SLOPE($AS27:AT27, $BC27:BD27))),"")</f>
        <v>-419.87957887340912</v>
      </c>
      <c r="CI27" s="42">
        <f>IF(T27&gt;0,((4-BO27)/(SLOPE($AS27:AU27, $BC27:BE27))),"")</f>
        <v>249.44183756299068</v>
      </c>
      <c r="CJ27" s="42">
        <f>IF(U27&gt;0,((4-BP27)/(SLOPE($AS27:AV27, $BC27:BF27))),"")</f>
        <v>289.77729692431672</v>
      </c>
      <c r="CK27" s="42">
        <f>IF(V27&gt;0,((4-BQ27)/(SLOPE($AS27:AW27, $BC27:BG27))),"")</f>
        <v>127.05509800640689</v>
      </c>
      <c r="CL27" s="42" t="str">
        <f>IF(W27&gt;0,((4-BR27)/(SLOPE($AS27:AX27, $BC27:BH27))),"")</f>
        <v/>
      </c>
      <c r="CM27" s="42" t="str">
        <f>IF(X27&gt;0,((4-BS27)/(SLOPE($AS27:AY27, $BC27:BI27))),"")</f>
        <v/>
      </c>
      <c r="CN27" s="42" t="str">
        <f>IF(Y27&gt;0,((4-BT27)/(SLOPE($AS27:AZ27, $BC27:BJ27))),"")</f>
        <v/>
      </c>
      <c r="CO27" s="42">
        <f>IF(Z27&gt;0,((4-BU27)/(SLOPE($AS27:BA27, $BC27:BK27))),"")</f>
        <v>73.05402901542395</v>
      </c>
    </row>
    <row r="28" spans="1:93">
      <c r="A28" s="42">
        <v>60</v>
      </c>
      <c r="B28" s="123" t="s">
        <v>589</v>
      </c>
      <c r="C28" s="46" t="s">
        <v>156</v>
      </c>
      <c r="D28" s="46" t="s">
        <v>467</v>
      </c>
      <c r="E28" s="45" t="s">
        <v>35</v>
      </c>
      <c r="F28" s="52" t="s">
        <v>54</v>
      </c>
      <c r="G28" s="52"/>
      <c r="H28" s="52" t="s">
        <v>145</v>
      </c>
      <c r="I28" s="52" t="s">
        <v>463</v>
      </c>
      <c r="J28" s="46" t="s">
        <v>544</v>
      </c>
      <c r="K28" s="46"/>
      <c r="L28" s="46"/>
      <c r="M28" s="72" cm="1">
        <f t="array" ref="M28">LOOKUP(2,1/(ISNUMBER(BX28:CE28)),BX28:CE28)</f>
        <v>-3.1805239647612844E-2</v>
      </c>
      <c r="N28" s="72" cm="1">
        <f t="array" ref="N28">LOOKUP(2,1/(ISNUMBER(CH28:CO28)),CH28:CO28)</f>
        <v>63.526527225353171</v>
      </c>
      <c r="O28" s="58">
        <v>20400000000</v>
      </c>
      <c r="P28" s="58">
        <v>4850000000</v>
      </c>
      <c r="Q28" s="59">
        <f t="shared" si="0"/>
        <v>1.4050737936207689</v>
      </c>
      <c r="R28" s="60">
        <v>712000</v>
      </c>
      <c r="S28" s="60">
        <v>381000</v>
      </c>
      <c r="T28" s="60">
        <v>103000</v>
      </c>
      <c r="U28" s="60">
        <v>108000</v>
      </c>
      <c r="V28" s="60">
        <v>117000</v>
      </c>
      <c r="W28" s="47"/>
      <c r="X28" s="47"/>
      <c r="Y28" s="47"/>
      <c r="Z28" s="47">
        <v>18100</v>
      </c>
      <c r="AA28" s="73">
        <v>0.10714285714285714</v>
      </c>
      <c r="AB28" s="47"/>
      <c r="AC28" s="47"/>
      <c r="AD28" s="47"/>
      <c r="AE28" s="47"/>
      <c r="AF28" s="47"/>
      <c r="AG28" s="47"/>
      <c r="AH28" s="47"/>
      <c r="AI28" s="47"/>
      <c r="AJ28" s="61">
        <v>44957</v>
      </c>
      <c r="AK28" s="61">
        <v>44964</v>
      </c>
      <c r="AL28" s="61">
        <v>44971</v>
      </c>
      <c r="AM28" s="61">
        <v>44978</v>
      </c>
      <c r="AN28" s="61">
        <v>44984</v>
      </c>
      <c r="AO28" s="117"/>
      <c r="AP28" s="117"/>
      <c r="AQ28" s="117"/>
      <c r="AR28" s="48">
        <v>45013</v>
      </c>
      <c r="AS28" s="42">
        <f t="shared" si="27"/>
        <v>5.8524799936368561</v>
      </c>
      <c r="AT28" s="42">
        <f t="shared" si="28"/>
        <v>5.580924975675619</v>
      </c>
      <c r="AU28" s="42">
        <f t="shared" si="29"/>
        <v>5.012837224705172</v>
      </c>
      <c r="AV28" s="42">
        <f t="shared" si="30"/>
        <v>5.012837224705172</v>
      </c>
      <c r="AW28" s="42">
        <f t="shared" si="31"/>
        <v>5.0681858617461613</v>
      </c>
      <c r="AX28" s="42" t="str">
        <f t="shared" si="8"/>
        <v/>
      </c>
      <c r="AY28" s="42" t="str">
        <f t="shared" si="6"/>
        <v/>
      </c>
      <c r="AZ28" s="42" t="str">
        <f t="shared" si="7"/>
        <v/>
      </c>
      <c r="BA28" s="42">
        <f t="shared" si="9"/>
        <v>4.2576785748691846</v>
      </c>
      <c r="BC28" s="42">
        <f t="shared" si="14"/>
        <v>0</v>
      </c>
      <c r="BD28" s="42">
        <f t="shared" si="15"/>
        <v>7</v>
      </c>
      <c r="BE28" s="42">
        <f t="shared" si="16"/>
        <v>14</v>
      </c>
      <c r="BF28" s="42">
        <f t="shared" si="17"/>
        <v>21</v>
      </c>
      <c r="BG28" s="42">
        <f t="shared" si="18"/>
        <v>27</v>
      </c>
      <c r="BH28" s="42" t="str">
        <f t="shared" si="10"/>
        <v/>
      </c>
      <c r="BI28" s="42" t="str">
        <f t="shared" si="11"/>
        <v/>
      </c>
      <c r="BJ28" s="42" t="str">
        <f t="shared" si="12"/>
        <v/>
      </c>
      <c r="BK28" s="42">
        <f t="shared" si="13"/>
        <v>56</v>
      </c>
      <c r="BN28" s="42">
        <f>INTERCEPT($AS28:AT28,$BC28:BD28)</f>
        <v>5.8524799936368561</v>
      </c>
      <c r="BO28" s="42">
        <f>INTERCEPT($AS28:AU28,$BC28:BE28)</f>
        <v>5.9019021158050577</v>
      </c>
      <c r="BP28" s="42">
        <f>INTERCEPT($AS28:AV28,$BC28:BF28)</f>
        <v>5.8278222633455297</v>
      </c>
      <c r="BQ28" s="42">
        <f>INTERCEPT($AS28:AW28,$BC28:BG28)</f>
        <v>5.7443653632308536</v>
      </c>
      <c r="BR28" s="42">
        <f>INTERCEPT($AS28:AX28,$BC28:BH28)</f>
        <v>5.7443653632308536</v>
      </c>
      <c r="BS28" s="42">
        <f>INTERCEPT($AS28:AY28,$BC28:BI28)</f>
        <v>5.7443653632308536</v>
      </c>
      <c r="BT28" s="42">
        <f>INTERCEPT($AS28:AZ28,$BC28:BJ28)</f>
        <v>5.7443653632308536</v>
      </c>
      <c r="BU28" s="42">
        <f>INTERCEPT($AS28:BA28,$BC28:BK28)</f>
        <v>5.6826410381273105</v>
      </c>
      <c r="BX28" s="42">
        <f t="shared" si="19"/>
        <v>-3.8793573994462448E-2</v>
      </c>
      <c r="BY28" s="42">
        <f t="shared" si="20"/>
        <v>-5.9974483495120294E-2</v>
      </c>
      <c r="BZ28" s="42">
        <f t="shared" si="24"/>
        <v>-4.4100229396649988E-2</v>
      </c>
      <c r="CA28" s="42">
        <f t="shared" si="25"/>
        <v>-3.1805239647612844E-2</v>
      </c>
      <c r="CB28" s="42" t="str">
        <f t="shared" si="26"/>
        <v/>
      </c>
      <c r="CC28" s="42" t="str">
        <f t="shared" si="21"/>
        <v/>
      </c>
      <c r="CD28" s="42" t="str">
        <f t="shared" si="22"/>
        <v/>
      </c>
      <c r="CE28" s="42" t="str">
        <f t="shared" si="23"/>
        <v/>
      </c>
      <c r="CH28" s="42">
        <f>IF(S28&gt;0,((4-BN28)/(SLOPE($AS28:AT28, $BC28:BD28))),"")</f>
        <v>47.752238396526359</v>
      </c>
      <c r="CI28" s="42">
        <f>IF(T28&gt;0,((4-BO28)/(SLOPE($AS28:AU28, $BC28:BE28))),"")</f>
        <v>31.711854858404948</v>
      </c>
      <c r="CJ28" s="42">
        <f>IF(U28&gt;0,((4-BP28)/(SLOPE($AS28:AV28, $BC28:BF28))),"")</f>
        <v>41.447001259462326</v>
      </c>
      <c r="CK28" s="42">
        <f>IF(V28&gt;0,((4-BQ28)/(SLOPE($AS28:AW28, $BC28:BG28))),"")</f>
        <v>54.845219924691797</v>
      </c>
      <c r="CL28" s="42" t="str">
        <f>IF(W28&gt;0,((4-BR28)/(SLOPE($AS28:AX28, $BC28:BH28))),"")</f>
        <v/>
      </c>
      <c r="CM28" s="42" t="str">
        <f>IF(X28&gt;0,((4-BS28)/(SLOPE($AS28:AY28, $BC28:BI28))),"")</f>
        <v/>
      </c>
      <c r="CN28" s="42" t="str">
        <f>IF(Y28&gt;0,((4-BT28)/(SLOPE($AS28:AZ28, $BC28:BJ28))),"")</f>
        <v/>
      </c>
      <c r="CO28" s="42">
        <f>IF(Z28&gt;0,((4-BU28)/(SLOPE($AS28:BA28, $BC28:BK28))),"")</f>
        <v>63.526527225353171</v>
      </c>
    </row>
    <row r="29" spans="1:93">
      <c r="A29" s="42">
        <v>61</v>
      </c>
      <c r="B29" s="123" t="s">
        <v>589</v>
      </c>
      <c r="C29" s="46" t="s">
        <v>160</v>
      </c>
      <c r="D29" s="46" t="s">
        <v>468</v>
      </c>
      <c r="E29" s="45" t="s">
        <v>35</v>
      </c>
      <c r="F29" s="52" t="s">
        <v>39</v>
      </c>
      <c r="G29" s="52"/>
      <c r="H29" s="52" t="s">
        <v>152</v>
      </c>
      <c r="I29" s="52" t="s">
        <v>590</v>
      </c>
      <c r="J29" s="46" t="s">
        <v>544</v>
      </c>
      <c r="K29" s="46"/>
      <c r="L29" s="46"/>
      <c r="M29" s="72" cm="1">
        <f t="array" ref="M29">LOOKUP(2,1/(ISNUMBER(BX29:CE29)),BX29:CE29)</f>
        <v>-2.2230464402285117E-2</v>
      </c>
      <c r="N29" s="72" cm="1">
        <f t="array" ref="N29">LOOKUP(2,1/(ISNUMBER(CH29:CO29)),CH29:CO29)</f>
        <v>87.504287120990696</v>
      </c>
      <c r="O29" s="58">
        <v>23500000000</v>
      </c>
      <c r="P29" s="58">
        <v>611000000</v>
      </c>
      <c r="Q29" s="59">
        <f t="shared" si="0"/>
        <v>1.2508056203573013</v>
      </c>
      <c r="R29" s="60">
        <v>1170000</v>
      </c>
      <c r="S29" s="60">
        <v>472000</v>
      </c>
      <c r="T29" s="60">
        <v>233000</v>
      </c>
      <c r="U29" s="60">
        <v>167000</v>
      </c>
      <c r="V29" s="60">
        <v>301000</v>
      </c>
      <c r="W29" s="47"/>
      <c r="X29" s="47"/>
      <c r="Y29" s="47"/>
      <c r="Z29" s="47">
        <v>48700</v>
      </c>
      <c r="AA29" s="73">
        <v>0.10714285714285714</v>
      </c>
      <c r="AB29" s="47"/>
      <c r="AC29" s="47"/>
      <c r="AD29" s="47"/>
      <c r="AE29" s="47"/>
      <c r="AF29" s="47"/>
      <c r="AG29" s="47"/>
      <c r="AH29" s="47"/>
      <c r="AI29" s="47"/>
      <c r="AJ29" s="61">
        <v>44957</v>
      </c>
      <c r="AK29" s="61">
        <v>44964</v>
      </c>
      <c r="AL29" s="61">
        <v>44971</v>
      </c>
      <c r="AM29" s="61">
        <v>44978</v>
      </c>
      <c r="AN29" s="61">
        <v>44984</v>
      </c>
      <c r="AO29" s="117"/>
      <c r="AP29" s="117"/>
      <c r="AQ29" s="117"/>
      <c r="AR29" s="48">
        <v>45013</v>
      </c>
      <c r="AS29" s="42">
        <f t="shared" si="27"/>
        <v>6.0681858617461613</v>
      </c>
      <c r="AT29" s="42">
        <f t="shared" si="28"/>
        <v>5.6739419986340875</v>
      </c>
      <c r="AU29" s="42">
        <f t="shared" si="29"/>
        <v>5.3673559210260189</v>
      </c>
      <c r="AV29" s="42">
        <f t="shared" si="30"/>
        <v>5.3673559210260189</v>
      </c>
      <c r="AW29" s="42">
        <f t="shared" si="31"/>
        <v>5.4785664955938431</v>
      </c>
      <c r="AX29" s="42" t="str">
        <f t="shared" si="8"/>
        <v/>
      </c>
      <c r="AY29" s="42" t="str">
        <f t="shared" si="6"/>
        <v/>
      </c>
      <c r="AZ29" s="42" t="str">
        <f t="shared" si="7"/>
        <v/>
      </c>
      <c r="BA29" s="42">
        <f t="shared" si="9"/>
        <v>4.6875289612146345</v>
      </c>
      <c r="BC29" s="42">
        <f t="shared" si="14"/>
        <v>0</v>
      </c>
      <c r="BD29" s="42">
        <f t="shared" si="15"/>
        <v>7</v>
      </c>
      <c r="BE29" s="42">
        <f t="shared" si="16"/>
        <v>14</v>
      </c>
      <c r="BF29" s="42">
        <f t="shared" si="17"/>
        <v>21</v>
      </c>
      <c r="BG29" s="42">
        <f t="shared" si="18"/>
        <v>27</v>
      </c>
      <c r="BH29" s="42" t="str">
        <f t="shared" si="10"/>
        <v/>
      </c>
      <c r="BI29" s="42" t="str">
        <f t="shared" si="11"/>
        <v/>
      </c>
      <c r="BJ29" s="42" t="str">
        <f t="shared" si="12"/>
        <v/>
      </c>
      <c r="BK29" s="42">
        <f t="shared" si="13"/>
        <v>56</v>
      </c>
      <c r="BN29" s="42">
        <f>INTERCEPT($AS29:AT29,$BC29:BD29)</f>
        <v>6.0681858617461613</v>
      </c>
      <c r="BO29" s="42">
        <f>INTERCEPT($AS29:AU29,$BC29:BE29)</f>
        <v>6.0535762308288277</v>
      </c>
      <c r="BP29" s="42">
        <f>INTERCEPT($AS29:AV29,$BC29:BF29)</f>
        <v>5.980571310573346</v>
      </c>
      <c r="BQ29" s="42">
        <f>INTERCEPT($AS29:AW29,$BC29:BG29)</f>
        <v>5.8978616483567601</v>
      </c>
      <c r="BR29" s="42">
        <f>INTERCEPT($AS29:AX29,$BC29:BH29)</f>
        <v>5.8978616483567601</v>
      </c>
      <c r="BS29" s="42">
        <f>INTERCEPT($AS29:AY29,$BC29:BI29)</f>
        <v>5.8978616483567601</v>
      </c>
      <c r="BT29" s="42">
        <f>INTERCEPT($AS29:AZ29,$BC29:BJ29)</f>
        <v>5.8978616483567601</v>
      </c>
      <c r="BU29" s="42">
        <f>INTERCEPT($AS29:BA29,$BC29:BK29)</f>
        <v>5.8906131200478891</v>
      </c>
      <c r="BX29" s="42">
        <f t="shared" si="19"/>
        <v>-5.6320551873153386E-2</v>
      </c>
      <c r="BY29" s="42">
        <f t="shared" si="20"/>
        <v>-5.0059281480010168E-2</v>
      </c>
      <c r="BZ29" s="42">
        <f t="shared" si="24"/>
        <v>-3.4415369996692799E-2</v>
      </c>
      <c r="CA29" s="42">
        <f t="shared" si="25"/>
        <v>-2.2230464402285117E-2</v>
      </c>
      <c r="CB29" s="42" t="str">
        <f t="shared" si="26"/>
        <v/>
      </c>
      <c r="CC29" s="42" t="str">
        <f t="shared" si="21"/>
        <v/>
      </c>
      <c r="CD29" s="42" t="str">
        <f t="shared" si="22"/>
        <v/>
      </c>
      <c r="CE29" s="42" t="str">
        <f t="shared" si="23"/>
        <v/>
      </c>
      <c r="CH29" s="42">
        <f>IF(S29&gt;0,((4-BN29)/(SLOPE($AS29:AT29, $BC29:BD29))),"")</f>
        <v>36.721690270439524</v>
      </c>
      <c r="CI29" s="42">
        <f>IF(T29&gt;0,((4-BO29)/(SLOPE($AS29:AU29, $BC29:BE29))),"")</f>
        <v>41.022886667857357</v>
      </c>
      <c r="CJ29" s="42">
        <f>IF(U29&gt;0,((4-BP29)/(SLOPE($AS29:AV29, $BC29:BF29))),"")</f>
        <v>57.549034363532115</v>
      </c>
      <c r="CK29" s="42">
        <f>IF(V29&gt;0,((4-BQ29)/(SLOPE($AS29:AW29, $BC29:BG29))),"")</f>
        <v>85.372109822486422</v>
      </c>
      <c r="CL29" s="42" t="str">
        <f>IF(W29&gt;0,((4-BR29)/(SLOPE($AS29:AX29, $BC29:BH29))),"")</f>
        <v/>
      </c>
      <c r="CM29" s="42" t="str">
        <f>IF(X29&gt;0,((4-BS29)/(SLOPE($AS29:AY29, $BC29:BI29))),"")</f>
        <v/>
      </c>
      <c r="CN29" s="42" t="str">
        <f>IF(Y29&gt;0,((4-BT29)/(SLOPE($AS29:AZ29, $BC29:BJ29))),"")</f>
        <v/>
      </c>
      <c r="CO29" s="42">
        <f>IF(Z29&gt;0,((4-BU29)/(SLOPE($AS29:BA29, $BC29:BK29))),"")</f>
        <v>87.504287120990696</v>
      </c>
    </row>
    <row r="30" spans="1:93">
      <c r="A30" s="42">
        <v>62</v>
      </c>
      <c r="B30" s="123" t="s">
        <v>589</v>
      </c>
      <c r="C30" s="46" t="s">
        <v>163</v>
      </c>
      <c r="D30" s="46" t="s">
        <v>469</v>
      </c>
      <c r="E30" s="45" t="s">
        <v>35</v>
      </c>
      <c r="F30" s="52" t="s">
        <v>39</v>
      </c>
      <c r="G30" s="52"/>
      <c r="H30" s="52" t="s">
        <v>145</v>
      </c>
      <c r="I30" s="52" t="s">
        <v>463</v>
      </c>
      <c r="J30" s="46" t="s">
        <v>544</v>
      </c>
      <c r="K30" s="46"/>
      <c r="L30" s="46"/>
      <c r="M30" s="72" cm="1">
        <f t="array" ref="M30">LOOKUP(2,1/(ISNUMBER(BX30:CE30)),BX30:CE30)</f>
        <v>-3.5915050762368693E-2</v>
      </c>
      <c r="N30" s="72" cm="1">
        <f t="array" ref="N30">LOOKUP(2,1/(ISNUMBER(CH30:CO30)),CH30:CO30)</f>
        <v>57.774329929961731</v>
      </c>
      <c r="O30" s="58">
        <v>9240000000</v>
      </c>
      <c r="P30" s="58">
        <v>1890000000</v>
      </c>
      <c r="Q30" s="59">
        <f t="shared" si="0"/>
        <v>0.98162947632366038</v>
      </c>
      <c r="R30" s="60">
        <v>855000</v>
      </c>
      <c r="S30" s="60">
        <v>311000</v>
      </c>
      <c r="T30" s="60">
        <v>193000</v>
      </c>
      <c r="U30" s="60">
        <v>118000</v>
      </c>
      <c r="V30" s="60">
        <v>64400</v>
      </c>
      <c r="W30" s="47"/>
      <c r="X30" s="47"/>
      <c r="Y30" s="47"/>
      <c r="Z30" s="47">
        <v>12800</v>
      </c>
      <c r="AA30" s="73">
        <v>0.10714285714285714</v>
      </c>
      <c r="AB30" s="47"/>
      <c r="AC30" s="47"/>
      <c r="AD30" s="47"/>
      <c r="AE30" s="47"/>
      <c r="AF30" s="47"/>
      <c r="AG30" s="47"/>
      <c r="AH30" s="47"/>
      <c r="AI30" s="47"/>
      <c r="AJ30" s="61">
        <v>44957</v>
      </c>
      <c r="AK30" s="61">
        <v>44964</v>
      </c>
      <c r="AL30" s="61">
        <v>44971</v>
      </c>
      <c r="AM30" s="61">
        <v>44978</v>
      </c>
      <c r="AN30" s="61">
        <v>44984</v>
      </c>
      <c r="AO30" s="117"/>
      <c r="AP30" s="117"/>
      <c r="AQ30" s="117"/>
      <c r="AR30" s="48">
        <v>45013</v>
      </c>
      <c r="AS30" s="42">
        <f t="shared" si="27"/>
        <v>5.9319661147281728</v>
      </c>
      <c r="AT30" s="42">
        <f t="shared" si="28"/>
        <v>5.4927603890268379</v>
      </c>
      <c r="AU30" s="42">
        <f t="shared" si="29"/>
        <v>5.2855573090077739</v>
      </c>
      <c r="AV30" s="42">
        <f t="shared" si="30"/>
        <v>5.2855573090077739</v>
      </c>
      <c r="AW30" s="42">
        <f t="shared" si="31"/>
        <v>4.8088858673598125</v>
      </c>
      <c r="AX30" s="42" t="str">
        <f t="shared" si="8"/>
        <v/>
      </c>
      <c r="AY30" s="42" t="str">
        <f t="shared" si="6"/>
        <v/>
      </c>
      <c r="AZ30" s="42" t="str">
        <f t="shared" si="7"/>
        <v/>
      </c>
      <c r="BA30" s="42">
        <f t="shared" si="9"/>
        <v>4.1072099696478688</v>
      </c>
      <c r="BC30" s="42">
        <f t="shared" si="14"/>
        <v>0</v>
      </c>
      <c r="BD30" s="42">
        <f t="shared" si="15"/>
        <v>7</v>
      </c>
      <c r="BE30" s="42">
        <f t="shared" si="16"/>
        <v>14</v>
      </c>
      <c r="BF30" s="42">
        <f t="shared" si="17"/>
        <v>21</v>
      </c>
      <c r="BG30" s="42">
        <f t="shared" si="18"/>
        <v>27</v>
      </c>
      <c r="BH30" s="42" t="str">
        <f t="shared" si="10"/>
        <v/>
      </c>
      <c r="BI30" s="42" t="str">
        <f t="shared" si="11"/>
        <v/>
      </c>
      <c r="BJ30" s="42" t="str">
        <f t="shared" si="12"/>
        <v/>
      </c>
      <c r="BK30" s="42">
        <f t="shared" si="13"/>
        <v>56</v>
      </c>
      <c r="BN30" s="42">
        <f>INTERCEPT($AS30:AT30,$BC30:BD30)</f>
        <v>5.9319661147281728</v>
      </c>
      <c r="BO30" s="42">
        <f>INTERCEPT($AS30:AU30,$BC30:BE30)</f>
        <v>5.8932990071144609</v>
      </c>
      <c r="BP30" s="42">
        <f>INTERCEPT($AS30:AV30,$BC30:BF30)</f>
        <v>5.8209247050196788</v>
      </c>
      <c r="BQ30" s="42">
        <f>INTERCEPT($AS30:AW30,$BC30:BG30)</f>
        <v>5.8565730983467628</v>
      </c>
      <c r="BR30" s="42">
        <f>INTERCEPT($AS30:AX30,$BC30:BH30)</f>
        <v>5.8565730983467628</v>
      </c>
      <c r="BS30" s="42">
        <f>INTERCEPT($AS30:AY30,$BC30:BI30)</f>
        <v>5.8565730983467628</v>
      </c>
      <c r="BT30" s="42">
        <f>INTERCEPT($AS30:AZ30,$BC30:BJ30)</f>
        <v>5.8565730983467628</v>
      </c>
      <c r="BU30" s="42">
        <f>INTERCEPT($AS30:BA30,$BC30:BK30)</f>
        <v>5.8016682597566849</v>
      </c>
      <c r="BX30" s="42">
        <f t="shared" si="19"/>
        <v>-6.2743675100190702E-2</v>
      </c>
      <c r="BY30" s="42">
        <f t="shared" si="20"/>
        <v>-4.617205755145707E-2</v>
      </c>
      <c r="BZ30" s="42">
        <f t="shared" si="24"/>
        <v>-3.0663278531146584E-2</v>
      </c>
      <c r="CA30" s="42">
        <f t="shared" si="25"/>
        <v>-3.5915050762368693E-2</v>
      </c>
      <c r="CB30" s="42" t="str">
        <f t="shared" si="26"/>
        <v/>
      </c>
      <c r="CC30" s="42" t="str">
        <f t="shared" si="21"/>
        <v/>
      </c>
      <c r="CD30" s="42" t="str">
        <f t="shared" si="22"/>
        <v/>
      </c>
      <c r="CE30" s="42" t="str">
        <f t="shared" si="23"/>
        <v/>
      </c>
      <c r="CH30" s="42">
        <f>IF(S30&gt;0,((4-BN30)/(SLOPE($AS30:AT30, $BC30:BD30))),"")</f>
        <v>30.791408243829519</v>
      </c>
      <c r="CI30" s="42">
        <f>IF(T30&gt;0,((4-BO30)/(SLOPE($AS30:AU30, $BC30:BE30))),"")</f>
        <v>41.005298605210484</v>
      </c>
      <c r="CJ30" s="42">
        <f>IF(U30&gt;0,((4-BP30)/(SLOPE($AS30:AV30, $BC30:BF30))),"")</f>
        <v>59.384540474693637</v>
      </c>
      <c r="CK30" s="42">
        <f>IF(V30&gt;0,((4-BQ30)/(SLOPE($AS30:AW30, $BC30:BG30))),"")</f>
        <v>51.693456056368852</v>
      </c>
      <c r="CL30" s="42" t="str">
        <f>IF(W30&gt;0,((4-BR30)/(SLOPE($AS30:AX30, $BC30:BH30))),"")</f>
        <v/>
      </c>
      <c r="CM30" s="42" t="str">
        <f>IF(X30&gt;0,((4-BS30)/(SLOPE($AS30:AY30, $BC30:BI30))),"")</f>
        <v/>
      </c>
      <c r="CN30" s="42" t="str">
        <f>IF(Y30&gt;0,((4-BT30)/(SLOPE($AS30:AZ30, $BC30:BJ30))),"")</f>
        <v/>
      </c>
      <c r="CO30" s="42">
        <f>IF(Z30&gt;0,((4-BU30)/(SLOPE($AS30:BA30, $BC30:BK30))),"")</f>
        <v>57.774329929961731</v>
      </c>
    </row>
    <row r="31" spans="1:93">
      <c r="A31" s="42">
        <v>63</v>
      </c>
      <c r="B31" s="123" t="s">
        <v>589</v>
      </c>
      <c r="C31" s="46" t="s">
        <v>166</v>
      </c>
      <c r="D31" s="46" t="s">
        <v>470</v>
      </c>
      <c r="E31" s="45" t="s">
        <v>61</v>
      </c>
      <c r="F31" s="52" t="s">
        <v>39</v>
      </c>
      <c r="G31" s="52"/>
      <c r="H31" s="52" t="s">
        <v>136</v>
      </c>
      <c r="I31" s="52" t="s">
        <v>590</v>
      </c>
      <c r="J31" s="46" t="s">
        <v>544</v>
      </c>
      <c r="K31" s="46"/>
      <c r="L31" s="46"/>
      <c r="M31" s="72" cm="1">
        <f t="array" ref="M31">LOOKUP(2,1/(ISNUMBER(BX31:CE31)),BX31:CE31)</f>
        <v>-2.591797889806589E-2</v>
      </c>
      <c r="N31" s="72" cm="1">
        <f t="array" ref="N31">LOOKUP(2,1/(ISNUMBER(CH31:CO31)),CH31:CO31)</f>
        <v>10.606044541064657</v>
      </c>
      <c r="O31" s="58">
        <v>3000000000</v>
      </c>
      <c r="P31" s="58">
        <v>577000000</v>
      </c>
      <c r="Q31" s="59">
        <f t="shared" si="0"/>
        <v>1.8847153997605144</v>
      </c>
      <c r="R31" s="60">
        <v>34700</v>
      </c>
      <c r="S31" s="60">
        <v>6800</v>
      </c>
      <c r="T31" s="60">
        <v>5190</v>
      </c>
      <c r="U31" s="60">
        <v>5350</v>
      </c>
      <c r="V31" s="60">
        <v>4630</v>
      </c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61">
        <v>44957</v>
      </c>
      <c r="AK31" s="61">
        <v>44964</v>
      </c>
      <c r="AL31" s="61">
        <v>44971</v>
      </c>
      <c r="AM31" s="61">
        <v>44978</v>
      </c>
      <c r="AN31" s="61">
        <v>44984</v>
      </c>
      <c r="AO31" s="117"/>
      <c r="AP31" s="117"/>
      <c r="AQ31" s="117"/>
      <c r="AR31" s="48"/>
      <c r="AS31" s="42">
        <f t="shared" si="27"/>
        <v>4.540329474790874</v>
      </c>
      <c r="AT31" s="42">
        <f t="shared" si="28"/>
        <v>3.8325089127062362</v>
      </c>
      <c r="AU31" s="42">
        <f t="shared" si="29"/>
        <v>3.7151673578484576</v>
      </c>
      <c r="AV31" s="42">
        <f>IF(S31&gt;0,(LOG(S31)),"")</f>
        <v>3.8325089127062362</v>
      </c>
      <c r="AW31" s="42">
        <f t="shared" si="31"/>
        <v>3.6655809910179533</v>
      </c>
      <c r="AX31" s="42" t="str">
        <f t="shared" si="8"/>
        <v/>
      </c>
      <c r="AY31" s="42" t="str">
        <f t="shared" si="6"/>
        <v/>
      </c>
      <c r="AZ31" s="42" t="str">
        <f t="shared" si="7"/>
        <v/>
      </c>
      <c r="BA31" s="42" t="str">
        <f t="shared" si="9"/>
        <v/>
      </c>
      <c r="BC31" s="42">
        <f t="shared" si="14"/>
        <v>0</v>
      </c>
      <c r="BD31" s="42">
        <f t="shared" si="15"/>
        <v>7</v>
      </c>
      <c r="BE31" s="42">
        <f t="shared" si="16"/>
        <v>14</v>
      </c>
      <c r="BF31" s="42">
        <f t="shared" si="17"/>
        <v>21</v>
      </c>
      <c r="BG31" s="42">
        <f t="shared" si="18"/>
        <v>27</v>
      </c>
      <c r="BH31" s="42" t="str">
        <f t="shared" si="10"/>
        <v/>
      </c>
      <c r="BI31" s="42" t="str">
        <f t="shared" si="11"/>
        <v/>
      </c>
      <c r="BJ31" s="42" t="str">
        <f t="shared" si="12"/>
        <v/>
      </c>
      <c r="BK31" s="42" t="str">
        <f t="shared" si="13"/>
        <v/>
      </c>
      <c r="BN31" s="42">
        <f>INTERCEPT($AS31:AT31,$BC31:BD31)</f>
        <v>4.540329474790874</v>
      </c>
      <c r="BO31" s="42">
        <f>INTERCEPT($AS31:AU31,$BC31:BE31)</f>
        <v>4.4419163069197314</v>
      </c>
      <c r="BP31" s="42">
        <f>INTERCEPT($AS31:AV31,$BC31:BF31)</f>
        <v>4.3162491506797052</v>
      </c>
      <c r="BQ31" s="42">
        <f>INTERCEPT($AS31:AW31,$BC31:BG31)</f>
        <v>4.2748872386072607</v>
      </c>
      <c r="BR31" s="42">
        <f>INTERCEPT($AS31:AX31,$BC31:BH31)</f>
        <v>4.2748872386072607</v>
      </c>
      <c r="BS31" s="42">
        <f>INTERCEPT($AS31:AY31,$BC31:BI31)</f>
        <v>4.2748872386072607</v>
      </c>
      <c r="BT31" s="42">
        <f>INTERCEPT($AS31:AZ31,$BC31:BJ31)</f>
        <v>4.2748872386072607</v>
      </c>
      <c r="BU31" s="42">
        <f>INTERCEPT($AS31:BA31,$BC31:BK31)</f>
        <v>4.2748872386072607</v>
      </c>
      <c r="BX31" s="42">
        <f t="shared" si="19"/>
        <v>-0.10111722315494825</v>
      </c>
      <c r="BY31" s="42">
        <f t="shared" si="20"/>
        <v>-5.8940151210172598E-2</v>
      </c>
      <c r="BZ31" s="42">
        <f t="shared" si="24"/>
        <v>-3.2011474873024179E-2</v>
      </c>
      <c r="CA31" s="42">
        <f t="shared" si="25"/>
        <v>-2.591797889806589E-2</v>
      </c>
      <c r="CB31" s="42" t="str">
        <f t="shared" si="26"/>
        <v/>
      </c>
      <c r="CC31" s="42" t="str">
        <f t="shared" si="21"/>
        <v/>
      </c>
      <c r="CD31" s="42" t="str">
        <f t="shared" si="22"/>
        <v/>
      </c>
      <c r="CE31" s="42" t="str">
        <f t="shared" si="23"/>
        <v/>
      </c>
      <c r="CH31" s="42">
        <f>IF(S31&gt;0,((4-BN31)/(SLOPE($AS31:AT31, $BC31:BD31))),"")</f>
        <v>5.3435948687286769</v>
      </c>
      <c r="CI31" s="42">
        <f>IF(T31&gt;0,((4-BO31)/(SLOPE($AS31:AU31, $BC31:BE31))),"")</f>
        <v>7.4977124735211094</v>
      </c>
      <c r="CJ31" s="42">
        <f>IF(U31&gt;0,((4-BP31)/(SLOPE($AS31:AV31, $BC31:BF31))),"")</f>
        <v>9.8792433630168617</v>
      </c>
      <c r="CK31" s="42">
        <f>IF(V31&gt;0,((4-BQ31)/(SLOPE($AS31:AW31, $BC31:BG31))),"")</f>
        <v>10.606044541064657</v>
      </c>
      <c r="CL31" s="42" t="str">
        <f>IF(W31&gt;0,((4-BR31)/(SLOPE($AS31:AX31, $BC31:BH31))),"")</f>
        <v/>
      </c>
      <c r="CM31" s="42" t="str">
        <f>IF(X31&gt;0,((4-BS31)/(SLOPE($AS31:AY31, $BC31:BI31))),"")</f>
        <v/>
      </c>
      <c r="CN31" s="42" t="str">
        <f>IF(Y31&gt;0,((4-BT31)/(SLOPE($AS31:AZ31, $BC31:BJ31))),"")</f>
        <v/>
      </c>
      <c r="CO31" s="42" t="str">
        <f>IF(Z31&gt;0,((4-BU31)/(SLOPE($AS31:BA31, $BC31:BK31))),"")</f>
        <v/>
      </c>
    </row>
    <row r="32" spans="1:93">
      <c r="A32" s="42">
        <v>64</v>
      </c>
      <c r="B32" s="123" t="s">
        <v>589</v>
      </c>
      <c r="C32" s="46" t="s">
        <v>169</v>
      </c>
      <c r="D32" s="46" t="s">
        <v>471</v>
      </c>
      <c r="E32" s="45" t="s">
        <v>61</v>
      </c>
      <c r="F32" s="52" t="s">
        <v>39</v>
      </c>
      <c r="G32" s="52"/>
      <c r="H32" s="52" t="s">
        <v>145</v>
      </c>
      <c r="I32" s="52" t="s">
        <v>463</v>
      </c>
      <c r="J32" s="46" t="s">
        <v>544</v>
      </c>
      <c r="K32" s="46"/>
      <c r="L32" s="46"/>
      <c r="M32" s="72" cm="1">
        <f t="array" ref="M32">LOOKUP(2,1/(ISNUMBER(BX32:CE32)),BX32:CE32)</f>
        <v>-1.7071411742295393E-2</v>
      </c>
      <c r="N32" s="72" cm="1">
        <f t="array" ref="N32">LOOKUP(2,1/(ISNUMBER(CH32:CO32)),CH32:CO32)</f>
        <v>26.77757178810295</v>
      </c>
      <c r="O32" s="58">
        <v>5280000000</v>
      </c>
      <c r="P32" s="58">
        <v>1260000000</v>
      </c>
      <c r="Q32" s="59">
        <f t="shared" si="0"/>
        <v>2.0202500192336021</v>
      </c>
      <c r="R32" s="60">
        <v>44700</v>
      </c>
      <c r="S32" s="60">
        <v>17700</v>
      </c>
      <c r="T32" s="60">
        <v>7690</v>
      </c>
      <c r="U32" s="60">
        <v>7390</v>
      </c>
      <c r="V32" s="60">
        <v>11900</v>
      </c>
      <c r="W32" s="47"/>
      <c r="X32" s="47"/>
      <c r="Y32" s="47"/>
      <c r="Z32" s="47"/>
      <c r="AA32" s="73"/>
      <c r="AB32" s="47"/>
      <c r="AC32" s="47"/>
      <c r="AD32" s="47"/>
      <c r="AE32" s="47"/>
      <c r="AF32" s="47"/>
      <c r="AG32" s="47"/>
      <c r="AH32" s="47"/>
      <c r="AI32" s="47"/>
      <c r="AJ32" s="61">
        <v>44957</v>
      </c>
      <c r="AK32" s="61">
        <v>44964</v>
      </c>
      <c r="AL32" s="61">
        <v>44971</v>
      </c>
      <c r="AM32" s="61">
        <v>44978</v>
      </c>
      <c r="AN32" s="61">
        <v>44984</v>
      </c>
      <c r="AO32" s="117"/>
      <c r="AP32" s="117"/>
      <c r="AQ32" s="117"/>
      <c r="AR32" s="48"/>
      <c r="AS32" s="42">
        <f t="shared" si="27"/>
        <v>4.6503075231319366</v>
      </c>
      <c r="AT32" s="42">
        <f t="shared" si="28"/>
        <v>4.2479732663618064</v>
      </c>
      <c r="AU32" s="42">
        <f t="shared" si="29"/>
        <v>3.885926339801431</v>
      </c>
      <c r="AV32" s="42">
        <f>IF(S32&gt;0,(LOG(S32)),"")</f>
        <v>4.2479732663618064</v>
      </c>
      <c r="AW32" s="42">
        <f t="shared" si="31"/>
        <v>4.075546961392531</v>
      </c>
      <c r="AX32" s="42" t="str">
        <f t="shared" si="8"/>
        <v/>
      </c>
      <c r="AY32" s="42" t="str">
        <f t="shared" si="6"/>
        <v/>
      </c>
      <c r="AZ32" s="42" t="str">
        <f t="shared" si="7"/>
        <v/>
      </c>
      <c r="BA32" s="42" t="str">
        <f t="shared" si="9"/>
        <v/>
      </c>
      <c r="BC32" s="42">
        <f t="shared" si="14"/>
        <v>0</v>
      </c>
      <c r="BD32" s="42">
        <f t="shared" si="15"/>
        <v>7</v>
      </c>
      <c r="BE32" s="42">
        <f t="shared" si="16"/>
        <v>14</v>
      </c>
      <c r="BF32" s="42">
        <f t="shared" si="17"/>
        <v>21</v>
      </c>
      <c r="BG32" s="42">
        <f t="shared" si="18"/>
        <v>27</v>
      </c>
      <c r="BH32" s="42" t="str">
        <f t="shared" si="10"/>
        <v/>
      </c>
      <c r="BI32" s="42" t="str">
        <f t="shared" si="11"/>
        <v/>
      </c>
      <c r="BJ32" s="42" t="str">
        <f t="shared" si="12"/>
        <v/>
      </c>
      <c r="BK32" s="42" t="str">
        <f t="shared" si="13"/>
        <v/>
      </c>
      <c r="BN32" s="42">
        <f>INTERCEPT($AS32:AT32,$BC32:BD32)</f>
        <v>4.6503075231319366</v>
      </c>
      <c r="BO32" s="42">
        <f>INTERCEPT($AS32:AU32,$BC32:BE32)</f>
        <v>4.6435929680969767</v>
      </c>
      <c r="BP32" s="42">
        <f>INTERCEPT($AS32:AV32,$BC32:BF32)</f>
        <v>4.4934025534448594</v>
      </c>
      <c r="BQ32" s="42">
        <f>INTERCEPT($AS32:AW32,$BC32:BG32)</f>
        <v>4.4571309534535786</v>
      </c>
      <c r="BR32" s="42">
        <f>INTERCEPT($AS32:AX32,$BC32:BH32)</f>
        <v>4.4571309534535786</v>
      </c>
      <c r="BS32" s="42">
        <f>INTERCEPT($AS32:AY32,$BC32:BI32)</f>
        <v>4.4571309534535786</v>
      </c>
      <c r="BT32" s="42">
        <f>INTERCEPT($AS32:AZ32,$BC32:BJ32)</f>
        <v>4.4571309534535786</v>
      </c>
      <c r="BU32" s="42">
        <f>INTERCEPT($AS32:BA32,$BC32:BK32)</f>
        <v>4.4571309534535786</v>
      </c>
      <c r="BX32" s="42">
        <f t="shared" si="19"/>
        <v>-5.7476322395732894E-2</v>
      </c>
      <c r="BY32" s="42">
        <f t="shared" si="20"/>
        <v>-5.4598655952178977E-2</v>
      </c>
      <c r="BZ32" s="42">
        <f t="shared" si="24"/>
        <v>-2.2414995669582372E-2</v>
      </c>
      <c r="CA32" s="42">
        <f t="shared" si="25"/>
        <v>-1.7071411742295393E-2</v>
      </c>
      <c r="CB32" s="42" t="str">
        <f t="shared" si="26"/>
        <v/>
      </c>
      <c r="CC32" s="42" t="str">
        <f t="shared" si="21"/>
        <v/>
      </c>
      <c r="CD32" s="42" t="str">
        <f t="shared" si="22"/>
        <v/>
      </c>
      <c r="CE32" s="42" t="str">
        <f t="shared" si="23"/>
        <v/>
      </c>
      <c r="CH32" s="42">
        <f>IF(S32&gt;0,((4-BN32)/(SLOPE($AS32:AT32, $BC32:BD32))),"")</f>
        <v>11.314355129656246</v>
      </c>
      <c r="CI32" s="42">
        <f>IF(T32&gt;0,((4-BO32)/(SLOPE($AS32:AU32, $BC32:BE32))),"")</f>
        <v>11.787707167382965</v>
      </c>
      <c r="CJ32" s="42">
        <f>IF(U32&gt;0,((4-BP32)/(SLOPE($AS32:AV32, $BC32:BF32))),"")</f>
        <v>22.012163674625072</v>
      </c>
      <c r="CK32" s="42">
        <f>IF(V32&gt;0,((4-BQ32)/(SLOPE($AS32:AW32, $BC32:BG32))),"")</f>
        <v>26.77757178810295</v>
      </c>
      <c r="CL32" s="42" t="str">
        <f>IF(W32&gt;0,((4-BR32)/(SLOPE($AS32:AX32, $BC32:BH32))),"")</f>
        <v/>
      </c>
      <c r="CM32" s="42" t="str">
        <f>IF(X32&gt;0,((4-BS32)/(SLOPE($AS32:AY32, $BC32:BI32))),"")</f>
        <v/>
      </c>
      <c r="CN32" s="42" t="str">
        <f>IF(Y32&gt;0,((4-BT32)/(SLOPE($AS32:AZ32, $BC32:BJ32))),"")</f>
        <v/>
      </c>
      <c r="CO32" s="42" t="str">
        <f>IF(Z32&gt;0,((4-BU32)/(SLOPE($AS32:BA32, $BC32:BK32))),"")</f>
        <v/>
      </c>
    </row>
    <row r="33" spans="1:93">
      <c r="A33" s="42">
        <v>15</v>
      </c>
      <c r="B33" s="123" t="s">
        <v>591</v>
      </c>
      <c r="C33" s="46" t="s">
        <v>87</v>
      </c>
      <c r="D33" s="46" t="s">
        <v>592</v>
      </c>
      <c r="E33" s="45" t="s">
        <v>35</v>
      </c>
      <c r="F33" s="52" t="s">
        <v>63</v>
      </c>
      <c r="G33" s="52"/>
      <c r="H33" s="52" t="s">
        <v>71</v>
      </c>
      <c r="I33" s="52" t="s">
        <v>586</v>
      </c>
      <c r="J33" s="62" t="s">
        <v>593</v>
      </c>
      <c r="K33" s="46">
        <v>21</v>
      </c>
      <c r="L33" s="46">
        <v>4</v>
      </c>
      <c r="M33" s="72" cm="1">
        <f t="array" ref="M33">LOOKUP(2,1/(ISNUMBER(BX33:CE33)),BX33:CE33)</f>
        <v>-3.4707527380513976E-2</v>
      </c>
      <c r="N33" s="72" cm="1">
        <f t="array" ref="N33">LOOKUP(2,1/(ISNUMBER(CH33:CO33)),CH33:CO33)</f>
        <v>77.076665036259186</v>
      </c>
      <c r="O33" s="58">
        <v>1106666666.6666667</v>
      </c>
      <c r="P33" s="58">
        <v>241108550.93366814</v>
      </c>
      <c r="Q33" s="59">
        <f t="shared" ref="Q33:Q64" si="32">LOG(O33*0.000887)-LOG(R33)</f>
        <v>0.28950991237057533</v>
      </c>
      <c r="R33" s="112">
        <v>504000</v>
      </c>
      <c r="S33" s="60">
        <v>248000</v>
      </c>
      <c r="T33" s="60">
        <v>141000</v>
      </c>
      <c r="U33" s="60">
        <v>48300</v>
      </c>
      <c r="V33" s="60">
        <v>68000</v>
      </c>
      <c r="W33" s="47"/>
      <c r="X33" s="47"/>
      <c r="Y33" s="47"/>
      <c r="Z33" s="47">
        <v>37466.666666666657</v>
      </c>
      <c r="AA33" s="109">
        <v>141364.77637657835</v>
      </c>
      <c r="AB33" s="47"/>
      <c r="AC33" s="47"/>
      <c r="AD33" s="47"/>
      <c r="AE33" s="47"/>
      <c r="AF33" s="47"/>
      <c r="AG33" s="47"/>
      <c r="AH33" s="47"/>
      <c r="AI33" s="47"/>
      <c r="AJ33" s="111">
        <v>44965</v>
      </c>
      <c r="AK33" s="61">
        <v>44972</v>
      </c>
      <c r="AL33" s="61">
        <v>44979</v>
      </c>
      <c r="AM33" s="61">
        <v>44988</v>
      </c>
      <c r="AN33" s="61">
        <v>44993</v>
      </c>
      <c r="AO33" s="48"/>
      <c r="AP33" s="48"/>
      <c r="AQ33" s="48"/>
      <c r="AR33" s="48">
        <v>45022</v>
      </c>
      <c r="AS33" s="42">
        <f t="shared" si="27"/>
        <v>5.702430536445525</v>
      </c>
      <c r="AT33" s="42">
        <f t="shared" si="28"/>
        <v>5.394451680826216</v>
      </c>
      <c r="AU33" s="42">
        <f t="shared" si="29"/>
        <v>5.1492191126553797</v>
      </c>
      <c r="AV33" s="42">
        <f t="shared" ref="AV33:AV42" si="33">IF(U33&gt;0,(LOG(U33)),"")</f>
        <v>4.6839471307515126</v>
      </c>
      <c r="AW33" s="42">
        <f t="shared" si="31"/>
        <v>4.8325089127062366</v>
      </c>
      <c r="AX33" s="42" t="str">
        <f t="shared" si="8"/>
        <v/>
      </c>
      <c r="AY33" s="42" t="str">
        <f t="shared" si="6"/>
        <v/>
      </c>
      <c r="AZ33" s="42" t="str">
        <f t="shared" si="7"/>
        <v/>
      </c>
      <c r="BA33" s="42">
        <f t="shared" si="9"/>
        <v>4.5736450565133797</v>
      </c>
      <c r="BC33" s="42">
        <f t="shared" si="14"/>
        <v>0</v>
      </c>
      <c r="BD33" s="42">
        <f t="shared" si="15"/>
        <v>7</v>
      </c>
      <c r="BE33" s="42">
        <f t="shared" si="16"/>
        <v>14</v>
      </c>
      <c r="BF33" s="42">
        <f t="shared" si="17"/>
        <v>23</v>
      </c>
      <c r="BG33" s="42">
        <f t="shared" si="18"/>
        <v>28</v>
      </c>
      <c r="BH33" s="42" t="str">
        <f t="shared" si="10"/>
        <v/>
      </c>
      <c r="BI33" s="42" t="str">
        <f t="shared" si="11"/>
        <v/>
      </c>
      <c r="BJ33" s="42" t="str">
        <f t="shared" si="12"/>
        <v/>
      </c>
      <c r="BK33" s="42">
        <f t="shared" si="13"/>
        <v>57</v>
      </c>
      <c r="BN33" s="42">
        <f>INTERCEPT($AS33:AT33,$BC33:BD33)</f>
        <v>5.702430536445525</v>
      </c>
      <c r="BO33" s="42">
        <f>INTERCEPT($AS33:AU33,$BC33:BE33)</f>
        <v>5.6919728218707801</v>
      </c>
      <c r="BP33" s="42">
        <f>INTERCEPT($AS33:AV33,$BC33:BF33)</f>
        <v>5.7123214837539162</v>
      </c>
      <c r="BQ33" s="42">
        <f>INTERCEPT($AS33:AW33,$BC33:BG33)</f>
        <v>5.6522998689563764</v>
      </c>
      <c r="BR33" s="42">
        <f>INTERCEPT($AS33:AX33,$BC33:BH33)</f>
        <v>5.6522998689563764</v>
      </c>
      <c r="BS33" s="42">
        <f>INTERCEPT($AS33:AY33,$BC33:BI33)</f>
        <v>5.6522998689563764</v>
      </c>
      <c r="BT33" s="42">
        <f>INTERCEPT($AS33:AZ33,$BC33:BJ33)</f>
        <v>5.6522998689563764</v>
      </c>
      <c r="BU33" s="42">
        <f>INTERCEPT($AS33:BA33,$BC33:BK33)</f>
        <v>5.4645635656996685</v>
      </c>
      <c r="BX33" s="42">
        <f t="shared" si="19"/>
        <v>-4.3996979374187006E-2</v>
      </c>
      <c r="BY33" s="42">
        <f t="shared" si="20"/>
        <v>-3.9515101699296097E-2</v>
      </c>
      <c r="BZ33" s="42">
        <f t="shared" si="24"/>
        <v>-4.3619033507659825E-2</v>
      </c>
      <c r="CA33" s="42">
        <f t="shared" si="25"/>
        <v>-3.4707527380513976E-2</v>
      </c>
      <c r="CB33" s="42" t="str">
        <f t="shared" si="26"/>
        <v/>
      </c>
      <c r="CC33" s="42" t="str">
        <f t="shared" si="21"/>
        <v/>
      </c>
      <c r="CD33" s="42" t="str">
        <f t="shared" si="22"/>
        <v/>
      </c>
      <c r="CE33" s="42" t="str">
        <f t="shared" si="23"/>
        <v/>
      </c>
      <c r="CH33" s="42">
        <f>IF(S33&gt;0,((4-BN33)/(SLOPE($AS33:AT33, $BC33:BD33))),"")</f>
        <v>38.694259484648612</v>
      </c>
      <c r="CI33" s="42">
        <f>IF(T33&gt;0,((4-BO33)/(SLOPE($AS33:AU33, $BC33:BE33))),"")</f>
        <v>42.818384594994477</v>
      </c>
      <c r="CJ33" s="42">
        <f>IF(U33&gt;0,((4-BP33)/(SLOPE($AS33:AV33, $BC33:BF33))),"")</f>
        <v>39.256291257650631</v>
      </c>
      <c r="CK33" s="42">
        <f>IF(V33&gt;0,((4-BQ33)/(SLOPE($AS33:AW33, $BC33:BG33))),"")</f>
        <v>47.606383792238553</v>
      </c>
      <c r="CL33" s="42" t="str">
        <f>IF(W33&gt;0,((4-BR33)/(SLOPE($AS33:AX33, $BC33:BH33))),"")</f>
        <v/>
      </c>
      <c r="CM33" s="42" t="str">
        <f>IF(X33&gt;0,((4-BS33)/(SLOPE($AS33:AY33, $BC33:BI33))),"")</f>
        <v/>
      </c>
      <c r="CN33" s="42" t="str">
        <f>IF(Y33&gt;0,((4-BT33)/(SLOPE($AS33:AZ33, $BC33:BJ33))),"")</f>
        <v/>
      </c>
      <c r="CO33" s="42">
        <f>IF(Z33&gt;0,((4-BU33)/(SLOPE($AS33:BA33, $BC33:BK33))),"")</f>
        <v>77.076665036259186</v>
      </c>
    </row>
    <row r="34" spans="1:93">
      <c r="A34" s="42">
        <v>17</v>
      </c>
      <c r="B34" s="123" t="s">
        <v>591</v>
      </c>
      <c r="C34" s="46" t="s">
        <v>90</v>
      </c>
      <c r="D34" s="46" t="s">
        <v>594</v>
      </c>
      <c r="E34" s="45" t="s">
        <v>35</v>
      </c>
      <c r="F34" s="52" t="s">
        <v>54</v>
      </c>
      <c r="G34" s="52"/>
      <c r="H34" s="52" t="s">
        <v>71</v>
      </c>
      <c r="I34" s="52" t="s">
        <v>586</v>
      </c>
      <c r="J34" s="62" t="s">
        <v>593</v>
      </c>
      <c r="K34" s="46">
        <v>21</v>
      </c>
      <c r="L34" s="46">
        <v>4</v>
      </c>
      <c r="M34" s="72" cm="1">
        <f t="array" ref="M34">LOOKUP(2,1/(ISNUMBER(BX34:CE34)),BX34:CE34)</f>
        <v>-2.7882613440001165E-2</v>
      </c>
      <c r="N34" s="72" cm="1">
        <f t="array" ref="N34">LOOKUP(2,1/(ISNUMBER(CH34:CO34)),CH34:CO34)</f>
        <v>54.325715426155369</v>
      </c>
      <c r="O34" s="58">
        <v>1386666666.6666667</v>
      </c>
      <c r="P34" s="58">
        <v>205264057.57787579</v>
      </c>
      <c r="Q34" s="59">
        <f t="shared" si="32"/>
        <v>0.82744460600837666</v>
      </c>
      <c r="R34" s="112">
        <v>183000</v>
      </c>
      <c r="S34" s="60">
        <v>83600</v>
      </c>
      <c r="T34" s="60">
        <v>63500</v>
      </c>
      <c r="U34" s="60">
        <v>29900</v>
      </c>
      <c r="V34" s="60">
        <v>31100</v>
      </c>
      <c r="W34" s="47"/>
      <c r="X34" s="47"/>
      <c r="Y34" s="47"/>
      <c r="Z34" s="47">
        <v>10933.333333333332</v>
      </c>
      <c r="AA34" s="109">
        <v>30550.50463303897</v>
      </c>
      <c r="AB34" s="47"/>
      <c r="AC34" s="47"/>
      <c r="AD34" s="47"/>
      <c r="AE34" s="47"/>
      <c r="AF34" s="47"/>
      <c r="AG34" s="47"/>
      <c r="AH34" s="47"/>
      <c r="AI34" s="47"/>
      <c r="AJ34" s="111">
        <v>44965</v>
      </c>
      <c r="AK34" s="61">
        <v>44972</v>
      </c>
      <c r="AL34" s="61">
        <v>44979</v>
      </c>
      <c r="AM34" s="61">
        <v>44988</v>
      </c>
      <c r="AN34" s="61">
        <v>44993</v>
      </c>
      <c r="AO34" s="48"/>
      <c r="AP34" s="48"/>
      <c r="AQ34" s="48"/>
      <c r="AR34" s="48">
        <v>45022</v>
      </c>
      <c r="AS34" s="42">
        <f t="shared" si="27"/>
        <v>5.2624510897304297</v>
      </c>
      <c r="AT34" s="42">
        <f t="shared" si="28"/>
        <v>4.9222062774390167</v>
      </c>
      <c r="AU34" s="42">
        <f t="shared" si="29"/>
        <v>4.802773725291976</v>
      </c>
      <c r="AV34" s="42">
        <f t="shared" si="33"/>
        <v>4.47567118832443</v>
      </c>
      <c r="AW34" s="42">
        <f t="shared" si="31"/>
        <v>4.4927603890268379</v>
      </c>
      <c r="AX34" s="42" t="str">
        <f t="shared" si="8"/>
        <v/>
      </c>
      <c r="AY34" s="42" t="str">
        <f t="shared" si="6"/>
        <v/>
      </c>
      <c r="AZ34" s="42" t="str">
        <f t="shared" si="7"/>
        <v/>
      </c>
      <c r="BA34" s="42">
        <f t="shared" si="9"/>
        <v>4.0387525889920166</v>
      </c>
      <c r="BC34" s="42">
        <f t="shared" ref="BC34:BC78" si="34">AJ34-$AJ34</f>
        <v>0</v>
      </c>
      <c r="BD34" s="42">
        <f t="shared" si="15"/>
        <v>7</v>
      </c>
      <c r="BE34" s="42">
        <f t="shared" ref="BE34:BE69" si="35">IF(AL34&gt;1,(AL34-$AJ34),"")</f>
        <v>14</v>
      </c>
      <c r="BF34" s="42">
        <f t="shared" ref="BF34:BF69" si="36">IF(AM34&gt;1,(AM34-$AJ34),"")</f>
        <v>23</v>
      </c>
      <c r="BG34" s="42">
        <f t="shared" ref="BG34:BH77" si="37">IF(AN34&gt;1,(AN34-$AJ34),"")</f>
        <v>28</v>
      </c>
      <c r="BH34" s="42" t="str">
        <f t="shared" si="10"/>
        <v/>
      </c>
      <c r="BI34" s="42" t="str">
        <f t="shared" ref="BI34:BI57" si="38">IF(AP34&gt;1,(AP34-$AJ34),"")</f>
        <v/>
      </c>
      <c r="BJ34" s="42" t="str">
        <f t="shared" ref="BJ34:BJ57" si="39">IF(AQ34&gt;1,(AQ34-$AJ34),"")</f>
        <v/>
      </c>
      <c r="BK34" s="42">
        <f t="shared" ref="BK34:BK57" si="40">IF(AR34&gt;1,(AR34-$AJ34),"")</f>
        <v>57</v>
      </c>
      <c r="BN34" s="42">
        <f>INTERCEPT($AS34:AT34,$BC34:BD34)</f>
        <v>5.2624510897304297</v>
      </c>
      <c r="BO34" s="42">
        <f>INTERCEPT($AS34:AU34,$BC34:BE34)</f>
        <v>5.2256490463730341</v>
      </c>
      <c r="BP34" s="42">
        <f>INTERCEPT($AS34:AV34,$BC34:BF34)</f>
        <v>5.2245808400972873</v>
      </c>
      <c r="BQ34" s="42">
        <f>INTERCEPT($AS34:AW34,$BC34:BG34)</f>
        <v>5.192682167498555</v>
      </c>
      <c r="BR34" s="42">
        <f>INTERCEPT($AS34:AX34,$BC34:BH34)</f>
        <v>5.192682167498555</v>
      </c>
      <c r="BS34" s="42">
        <f>INTERCEPT($AS34:AY34,$BC34:BI34)</f>
        <v>5.192682167498555</v>
      </c>
      <c r="BT34" s="42">
        <f>INTERCEPT($AS34:AZ34,$BC34:BJ34)</f>
        <v>5.192682167498555</v>
      </c>
      <c r="BU34" s="42">
        <f>INTERCEPT($AS34:BA34,$BC34:BK34)</f>
        <v>5.1018309322914241</v>
      </c>
      <c r="BX34" s="42">
        <f t="shared" si="19"/>
        <v>-4.8606401755916143E-2</v>
      </c>
      <c r="BY34" s="42">
        <f t="shared" si="20"/>
        <v>-3.2834097459889557E-2</v>
      </c>
      <c r="BZ34" s="42">
        <f t="shared" si="24"/>
        <v>-3.2618660900074849E-2</v>
      </c>
      <c r="CA34" s="42">
        <f t="shared" si="25"/>
        <v>-2.7882613440001165E-2</v>
      </c>
      <c r="CB34" s="42" t="str">
        <f t="shared" si="26"/>
        <v/>
      </c>
      <c r="CC34" s="42" t="str">
        <f t="shared" si="21"/>
        <v/>
      </c>
      <c r="CD34" s="42" t="str">
        <f t="shared" si="22"/>
        <v/>
      </c>
      <c r="CE34" s="42" t="str">
        <f t="shared" si="23"/>
        <v/>
      </c>
      <c r="CH34" s="42">
        <f>IF(S34&gt;0,((4-BN34)/(SLOPE($AS34:AT34, $BC34:BD34))),"")</f>
        <v>25.972938627919934</v>
      </c>
      <c r="CI34" s="42">
        <f>IF(T34&gt;0,((4-BO34)/(SLOPE($AS34:AU34, $BC34:BE34))),"")</f>
        <v>37.328543836793401</v>
      </c>
      <c r="CJ34" s="42">
        <f>IF(U34&gt;0,((4-BP34)/(SLOPE($AS34:AV34, $BC34:BF34))),"")</f>
        <v>37.542339455586827</v>
      </c>
      <c r="CK34" s="42">
        <f>IF(V34&gt;0,((4-BQ34)/(SLOPE($AS34:AW34, $BC34:BG34))),"")</f>
        <v>42.77512113651084</v>
      </c>
      <c r="CL34" s="42" t="str">
        <f>IF(W34&gt;0,((4-BR34)/(SLOPE($AS34:AX34, $BC34:BH34))),"")</f>
        <v/>
      </c>
      <c r="CM34" s="42" t="str">
        <f>IF(X34&gt;0,((4-BS34)/(SLOPE($AS34:AY34, $BC34:BI34))),"")</f>
        <v/>
      </c>
      <c r="CN34" s="42" t="str">
        <f>IF(Y34&gt;0,((4-BT34)/(SLOPE($AS34:AZ34, $BC34:BJ34))),"")</f>
        <v/>
      </c>
      <c r="CO34" s="42">
        <f>IF(Z34&gt;0,((4-BU34)/(SLOPE($AS34:BA34, $BC34:BK34))),"")</f>
        <v>54.325715426155369</v>
      </c>
    </row>
    <row r="35" spans="1:93">
      <c r="A35" s="42">
        <v>21</v>
      </c>
      <c r="B35" s="123" t="s">
        <v>591</v>
      </c>
      <c r="C35" s="46" t="s">
        <v>101</v>
      </c>
      <c r="D35" s="46" t="s">
        <v>595</v>
      </c>
      <c r="E35" s="45" t="s">
        <v>35</v>
      </c>
      <c r="F35" s="52" t="s">
        <v>63</v>
      </c>
      <c r="G35" s="52"/>
      <c r="H35" s="52" t="s">
        <v>105</v>
      </c>
      <c r="I35" s="52" t="s">
        <v>105</v>
      </c>
      <c r="J35" s="62" t="s">
        <v>593</v>
      </c>
      <c r="K35" s="46">
        <v>21</v>
      </c>
      <c r="L35" s="46">
        <v>4</v>
      </c>
      <c r="M35" s="72" cm="1">
        <f t="array" ref="M35">LOOKUP(2,1/(ISNUMBER(BX35:CE35)),BX35:CE35)</f>
        <v>-4.7924097967204669E-2</v>
      </c>
      <c r="N35" s="72" cm="1">
        <f t="array" ref="N35">LOOKUP(2,1/(ISNUMBER(CH35:CO35)),CH35:CO35)</f>
        <v>52.053903916266201</v>
      </c>
      <c r="O35" s="58">
        <v>4666666666.666667</v>
      </c>
      <c r="P35" s="58">
        <v>230940107.6758503</v>
      </c>
      <c r="Q35" s="59">
        <f t="shared" si="32"/>
        <v>0.45856790869505293</v>
      </c>
      <c r="R35" s="112">
        <v>1440000</v>
      </c>
      <c r="S35" s="60">
        <v>833000</v>
      </c>
      <c r="T35" s="60">
        <v>360000</v>
      </c>
      <c r="U35" s="60">
        <v>111000</v>
      </c>
      <c r="V35" s="60">
        <v>75600</v>
      </c>
      <c r="W35" s="47"/>
      <c r="X35" s="47"/>
      <c r="Y35" s="47"/>
      <c r="Z35" s="47">
        <v>7733.3333333333321</v>
      </c>
      <c r="AA35" s="109">
        <v>200000</v>
      </c>
      <c r="AB35" s="47"/>
      <c r="AC35" s="47"/>
      <c r="AD35" s="47"/>
      <c r="AE35" s="47"/>
      <c r="AF35" s="47"/>
      <c r="AG35" s="47"/>
      <c r="AH35" s="47"/>
      <c r="AI35" s="47"/>
      <c r="AJ35" s="111">
        <v>44965</v>
      </c>
      <c r="AK35" s="61">
        <v>44972</v>
      </c>
      <c r="AL35" s="61">
        <v>44979</v>
      </c>
      <c r="AM35" s="61">
        <v>44988</v>
      </c>
      <c r="AN35" s="61">
        <v>44993</v>
      </c>
      <c r="AO35" s="48"/>
      <c r="AP35" s="48"/>
      <c r="AQ35" s="48"/>
      <c r="AR35" s="48">
        <v>45022</v>
      </c>
      <c r="AS35" s="42">
        <f t="shared" si="27"/>
        <v>6.1583624920952493</v>
      </c>
      <c r="AT35" s="42">
        <f t="shared" si="28"/>
        <v>5.920645001406788</v>
      </c>
      <c r="AU35" s="42">
        <f t="shared" si="29"/>
        <v>5.5563025007672868</v>
      </c>
      <c r="AV35" s="42">
        <f t="shared" si="33"/>
        <v>5.0453229787866576</v>
      </c>
      <c r="AW35" s="42">
        <f t="shared" si="31"/>
        <v>4.8785217955012063</v>
      </c>
      <c r="AX35" s="42" t="str">
        <f t="shared" si="8"/>
        <v/>
      </c>
      <c r="AY35" s="42" t="str">
        <f t="shared" si="6"/>
        <v/>
      </c>
      <c r="AZ35" s="42" t="str">
        <f t="shared" si="7"/>
        <v/>
      </c>
      <c r="BA35" s="42">
        <f t="shared" si="9"/>
        <v>3.8883667301712372</v>
      </c>
      <c r="BC35" s="42">
        <f t="shared" si="34"/>
        <v>0</v>
      </c>
      <c r="BD35" s="42">
        <f t="shared" ref="BD35:BD75" si="41">IF(AK35&gt;1,(AK35-$AJ35),"")</f>
        <v>7</v>
      </c>
      <c r="BE35" s="42">
        <f t="shared" si="35"/>
        <v>14</v>
      </c>
      <c r="BF35" s="42">
        <f t="shared" si="36"/>
        <v>23</v>
      </c>
      <c r="BG35" s="42">
        <f t="shared" si="37"/>
        <v>28</v>
      </c>
      <c r="BH35" s="42" t="str">
        <f t="shared" si="10"/>
        <v/>
      </c>
      <c r="BI35" s="42" t="str">
        <f t="shared" si="38"/>
        <v/>
      </c>
      <c r="BJ35" s="42" t="str">
        <f t="shared" si="39"/>
        <v/>
      </c>
      <c r="BK35" s="42">
        <f t="shared" si="40"/>
        <v>57</v>
      </c>
      <c r="BN35" s="42">
        <f>INTERCEPT($AS35:AT35,$BC35:BD35)</f>
        <v>6.1583624920952484</v>
      </c>
      <c r="BO35" s="42">
        <f>INTERCEPT($AS35:AU35,$BC35:BE35)</f>
        <v>6.1794666604204229</v>
      </c>
      <c r="BP35" s="42">
        <f>INTERCEPT($AS35:AV35,$BC35:BF35)</f>
        <v>6.2092259187131837</v>
      </c>
      <c r="BQ35" s="42">
        <f>INTERCEPT($AS35:AW35,$BC35:BG35)</f>
        <v>6.2019379644391845</v>
      </c>
      <c r="BR35" s="42">
        <f>INTERCEPT($AS35:AX35,$BC35:BH35)</f>
        <v>6.2019379644391845</v>
      </c>
      <c r="BS35" s="42">
        <f>INTERCEPT($AS35:AY35,$BC35:BI35)</f>
        <v>6.2019379644391845</v>
      </c>
      <c r="BT35" s="42">
        <f>INTERCEPT($AS35:AZ35,$BC35:BJ35)</f>
        <v>6.2019379644391845</v>
      </c>
      <c r="BU35" s="42">
        <f>INTERCEPT($AS35:BA35,$BC35:BK35)</f>
        <v>6.1146919532310484</v>
      </c>
      <c r="BX35" s="42">
        <f t="shared" si="19"/>
        <v>-3.3959641526923053E-2</v>
      </c>
      <c r="BY35" s="42">
        <f t="shared" si="20"/>
        <v>-4.3004285094854468E-2</v>
      </c>
      <c r="BZ35" s="42">
        <f t="shared" si="24"/>
        <v>-4.9006152313562562E-2</v>
      </c>
      <c r="CA35" s="42">
        <f t="shared" si="25"/>
        <v>-4.7924097967204669E-2</v>
      </c>
      <c r="CB35" s="42" t="str">
        <f t="shared" si="26"/>
        <v/>
      </c>
      <c r="CC35" s="42" t="str">
        <f t="shared" si="21"/>
        <v/>
      </c>
      <c r="CD35" s="42" t="str">
        <f t="shared" si="22"/>
        <v/>
      </c>
      <c r="CE35" s="42" t="str">
        <f t="shared" si="23"/>
        <v/>
      </c>
      <c r="CH35" s="42">
        <f>IF(S35&gt;0,((4-BN35)/(SLOPE($AS35:AT35, $BC35:BD35))),"")</f>
        <v>63.556692445770025</v>
      </c>
      <c r="CI35" s="42">
        <f>IF(T35&gt;0,((4-BO35)/(SLOPE($AS35:AU35, $BC35:BE35))),"")</f>
        <v>50.680220717846545</v>
      </c>
      <c r="CJ35" s="42">
        <f>IF(U35&gt;0,((4-BP35)/(SLOPE($AS35:AV35, $BC35:BF35))),"")</f>
        <v>45.080583037362345</v>
      </c>
      <c r="CK35" s="42">
        <f>IF(V35&gt;0,((4-BQ35)/(SLOPE($AS35:AW35, $BC35:BG35))),"")</f>
        <v>45.946362223573004</v>
      </c>
      <c r="CL35" s="42" t="str">
        <f>IF(W35&gt;0,((4-BR35)/(SLOPE($AS35:AX35, $BC35:BH35))),"")</f>
        <v/>
      </c>
      <c r="CM35" s="42" t="str">
        <f>IF(X35&gt;0,((4-BS35)/(SLOPE($AS35:AY35, $BC35:BI35))),"")</f>
        <v/>
      </c>
      <c r="CN35" s="42" t="str">
        <f>IF(Y35&gt;0,((4-BT35)/(SLOPE($AS35:AZ35, $BC35:BJ35))),"")</f>
        <v/>
      </c>
      <c r="CO35" s="42">
        <f>IF(Z35&gt;0,((4-BU35)/(SLOPE($AS35:BA35, $BC35:BK35))),"")</f>
        <v>52.053903916266201</v>
      </c>
    </row>
    <row r="36" spans="1:93">
      <c r="A36" s="42">
        <v>33</v>
      </c>
      <c r="B36" s="123" t="s">
        <v>591</v>
      </c>
      <c r="C36" s="46" t="s">
        <v>121</v>
      </c>
      <c r="D36" s="46" t="s">
        <v>596</v>
      </c>
      <c r="E36" s="45" t="s">
        <v>35</v>
      </c>
      <c r="F36" s="52" t="s">
        <v>39</v>
      </c>
      <c r="G36" s="52"/>
      <c r="H36" s="52" t="s">
        <v>99</v>
      </c>
      <c r="I36" s="52" t="s">
        <v>99</v>
      </c>
      <c r="J36" s="62" t="s">
        <v>593</v>
      </c>
      <c r="K36" s="46">
        <v>21</v>
      </c>
      <c r="L36" s="46">
        <v>4</v>
      </c>
      <c r="M36" s="72" cm="1">
        <f t="array" ref="M36">LOOKUP(2,1/(ISNUMBER(BX36:CE36)),BX36:CE36)</f>
        <v>-2.3156824566772143E-2</v>
      </c>
      <c r="N36" s="72" cm="1">
        <f t="array" ref="N36">LOOKUP(2,1/(ISNUMBER(CH36:CO36)),CH36:CO36)</f>
        <v>84.628937590856907</v>
      </c>
      <c r="O36" s="58">
        <v>746666666.66666663</v>
      </c>
      <c r="P36" s="58">
        <v>83266639.97864531</v>
      </c>
      <c r="Q36" s="59">
        <f t="shared" si="32"/>
        <v>-2.3426792299455101E-2</v>
      </c>
      <c r="R36" s="112">
        <v>699000</v>
      </c>
      <c r="S36" s="60">
        <v>495000</v>
      </c>
      <c r="T36" s="60">
        <v>244000</v>
      </c>
      <c r="U36" s="60">
        <v>173000</v>
      </c>
      <c r="V36" s="60">
        <v>176000</v>
      </c>
      <c r="W36" s="47"/>
      <c r="X36" s="47"/>
      <c r="Y36" s="47"/>
      <c r="Z36" s="47">
        <v>40666.666666666657</v>
      </c>
      <c r="AA36" s="109">
        <v>124021.50351182399</v>
      </c>
      <c r="AB36" s="47"/>
      <c r="AC36" s="47"/>
      <c r="AD36" s="47"/>
      <c r="AE36" s="47"/>
      <c r="AF36" s="47"/>
      <c r="AG36" s="47"/>
      <c r="AH36" s="47"/>
      <c r="AI36" s="47"/>
      <c r="AJ36" s="111">
        <v>44965</v>
      </c>
      <c r="AK36" s="61">
        <v>44972</v>
      </c>
      <c r="AL36" s="61">
        <v>44979</v>
      </c>
      <c r="AM36" s="61">
        <v>44988</v>
      </c>
      <c r="AN36" s="61">
        <v>44993</v>
      </c>
      <c r="AO36" s="48"/>
      <c r="AP36" s="48"/>
      <c r="AQ36" s="48"/>
      <c r="AR36" s="48">
        <v>45022</v>
      </c>
      <c r="AS36" s="42">
        <f t="shared" si="27"/>
        <v>5.8444771757456815</v>
      </c>
      <c r="AT36" s="42">
        <f t="shared" si="28"/>
        <v>5.6946051989335684</v>
      </c>
      <c r="AU36" s="42">
        <f t="shared" si="29"/>
        <v>5.3873898263387296</v>
      </c>
      <c r="AV36" s="42">
        <f t="shared" si="33"/>
        <v>5.238046103128795</v>
      </c>
      <c r="AW36" s="42">
        <f t="shared" si="31"/>
        <v>5.2455126678141495</v>
      </c>
      <c r="AX36" s="42" t="str">
        <f t="shared" si="8"/>
        <v/>
      </c>
      <c r="AY36" s="42" t="str">
        <f t="shared" si="6"/>
        <v/>
      </c>
      <c r="AZ36" s="42" t="str">
        <f t="shared" si="7"/>
        <v/>
      </c>
      <c r="BA36" s="42">
        <f t="shared" si="9"/>
        <v>4.6092385759550858</v>
      </c>
      <c r="BC36" s="42">
        <f t="shared" si="34"/>
        <v>0</v>
      </c>
      <c r="BD36" s="42">
        <f t="shared" si="41"/>
        <v>7</v>
      </c>
      <c r="BE36" s="42">
        <f t="shared" si="35"/>
        <v>14</v>
      </c>
      <c r="BF36" s="42">
        <f t="shared" si="36"/>
        <v>23</v>
      </c>
      <c r="BG36" s="42">
        <f t="shared" si="37"/>
        <v>28</v>
      </c>
      <c r="BH36" s="42" t="str">
        <f t="shared" si="10"/>
        <v/>
      </c>
      <c r="BI36" s="42" t="str">
        <f t="shared" si="38"/>
        <v/>
      </c>
      <c r="BJ36" s="42" t="str">
        <f t="shared" si="39"/>
        <v/>
      </c>
      <c r="BK36" s="42">
        <f t="shared" si="40"/>
        <v>57</v>
      </c>
      <c r="BN36" s="42">
        <f>INTERCEPT($AS36:AT36,$BC36:BD36)</f>
        <v>5.8444771757456815</v>
      </c>
      <c r="BO36" s="42">
        <f>INTERCEPT($AS36:AU36,$BC36:BE36)</f>
        <v>5.8707010750428026</v>
      </c>
      <c r="BP36" s="42">
        <f>INTERCEPT($AS36:AV36,$BC36:BF36)</f>
        <v>5.8464344627129883</v>
      </c>
      <c r="BQ36" s="42">
        <f>INTERCEPT($AS36:AW36,$BC36:BG36)</f>
        <v>5.8154644681537038</v>
      </c>
      <c r="BR36" s="42">
        <f>INTERCEPT($AS36:AX36,$BC36:BH36)</f>
        <v>5.8154644681537038</v>
      </c>
      <c r="BS36" s="42">
        <f>INTERCEPT($AS36:AY36,$BC36:BI36)</f>
        <v>5.8154644681537038</v>
      </c>
      <c r="BT36" s="42">
        <f>INTERCEPT($AS36:AZ36,$BC36:BJ36)</f>
        <v>5.8154644681537038</v>
      </c>
      <c r="BU36" s="42">
        <f>INTERCEPT($AS36:BA36,$BC36:BK36)</f>
        <v>5.7917357923696349</v>
      </c>
      <c r="BX36" s="42">
        <f t="shared" si="19"/>
        <v>-2.1410282401730436E-2</v>
      </c>
      <c r="BY36" s="42">
        <f t="shared" si="20"/>
        <v>-3.2649096386210844E-2</v>
      </c>
      <c r="BZ36" s="42">
        <f t="shared" si="24"/>
        <v>-2.775498969784497E-2</v>
      </c>
      <c r="CA36" s="42">
        <f t="shared" si="25"/>
        <v>-2.3156824566772143E-2</v>
      </c>
      <c r="CB36" s="42" t="str">
        <f t="shared" si="26"/>
        <v/>
      </c>
      <c r="CC36" s="42" t="str">
        <f t="shared" si="21"/>
        <v/>
      </c>
      <c r="CD36" s="42" t="str">
        <f t="shared" si="22"/>
        <v/>
      </c>
      <c r="CE36" s="42" t="str">
        <f t="shared" si="23"/>
        <v/>
      </c>
      <c r="CH36" s="42">
        <f>IF(S36&gt;0,((4-BN36)/(SLOPE($AS36:AT36, $BC36:BD36))),"")</f>
        <v>86.149128775461918</v>
      </c>
      <c r="CI36" s="42">
        <f>IF(T36&gt;0,((4-BO36)/(SLOPE($AS36:AU36, $BC36:BE36))),"")</f>
        <v>57.297177628256883</v>
      </c>
      <c r="CJ36" s="42">
        <f>IF(U36&gt;0,((4-BP36)/(SLOPE($AS36:AV36, $BC36:BF36))),"")</f>
        <v>66.526216828549366</v>
      </c>
      <c r="CK36" s="42">
        <f>IF(V36&gt;0,((4-BQ36)/(SLOPE($AS36:AW36, $BC36:BG36))),"")</f>
        <v>78.398679530470858</v>
      </c>
      <c r="CL36" s="42" t="str">
        <f>IF(W36&gt;0,((4-BR36)/(SLOPE($AS36:AX36, $BC36:BH36))),"")</f>
        <v/>
      </c>
      <c r="CM36" s="42" t="str">
        <f>IF(X36&gt;0,((4-BS36)/(SLOPE($AS36:AY36, $BC36:BI36))),"")</f>
        <v/>
      </c>
      <c r="CN36" s="42" t="str">
        <f>IF(Y36&gt;0,((4-BT36)/(SLOPE($AS36:AZ36, $BC36:BJ36))),"")</f>
        <v/>
      </c>
      <c r="CO36" s="42">
        <f>IF(Z36&gt;0,((4-BU36)/(SLOPE($AS36:BA36, $BC36:BK36))),"")</f>
        <v>84.628937590856907</v>
      </c>
    </row>
    <row r="37" spans="1:93">
      <c r="A37" s="42">
        <v>35</v>
      </c>
      <c r="B37" s="123" t="s">
        <v>591</v>
      </c>
      <c r="C37" s="46" t="s">
        <v>126</v>
      </c>
      <c r="D37" s="46" t="s">
        <v>597</v>
      </c>
      <c r="E37" s="45" t="s">
        <v>35</v>
      </c>
      <c r="F37" s="52" t="s">
        <v>39</v>
      </c>
      <c r="G37" s="52"/>
      <c r="H37" s="52" t="s">
        <v>105</v>
      </c>
      <c r="I37" s="52" t="s">
        <v>105</v>
      </c>
      <c r="J37" s="62" t="s">
        <v>593</v>
      </c>
      <c r="K37" s="46">
        <v>21</v>
      </c>
      <c r="L37" s="46">
        <v>4</v>
      </c>
      <c r="M37" s="72" cm="1">
        <f t="array" ref="M37">LOOKUP(2,1/(ISNUMBER(BX37:CE37)),BX37:CE37)</f>
        <v>-3.1771498400859625E-2</v>
      </c>
      <c r="N37" s="72" cm="1">
        <f t="array" ref="N37">LOOKUP(2,1/(ISNUMBER(CH37:CO37)),CH37:CO37)</f>
        <v>77.761307190767212</v>
      </c>
      <c r="O37" s="58">
        <v>2600000000</v>
      </c>
      <c r="P37" s="58">
        <v>80000000</v>
      </c>
      <c r="Q37" s="59">
        <f t="shared" si="32"/>
        <v>0.35429679604062603</v>
      </c>
      <c r="R37" s="112">
        <v>1020000</v>
      </c>
      <c r="S37" s="60">
        <v>388000</v>
      </c>
      <c r="T37" s="60">
        <v>268000</v>
      </c>
      <c r="U37" s="60">
        <v>106000</v>
      </c>
      <c r="V37" s="60">
        <v>147000</v>
      </c>
      <c r="W37" s="47"/>
      <c r="X37" s="47"/>
      <c r="Y37" s="47"/>
      <c r="Z37" s="47">
        <v>38533.333333333328</v>
      </c>
      <c r="AA37" s="109">
        <v>273242.26125058561</v>
      </c>
      <c r="AB37" s="47"/>
      <c r="AC37" s="47"/>
      <c r="AD37" s="47"/>
      <c r="AE37" s="47"/>
      <c r="AF37" s="47"/>
      <c r="AG37" s="47"/>
      <c r="AH37" s="47"/>
      <c r="AI37" s="47"/>
      <c r="AJ37" s="111">
        <v>44965</v>
      </c>
      <c r="AK37" s="61">
        <v>44972</v>
      </c>
      <c r="AL37" s="61">
        <v>44979</v>
      </c>
      <c r="AM37" s="61">
        <v>44988</v>
      </c>
      <c r="AN37" s="61">
        <v>44993</v>
      </c>
      <c r="AO37" s="48"/>
      <c r="AP37" s="48"/>
      <c r="AQ37" s="48"/>
      <c r="AR37" s="48">
        <v>45022</v>
      </c>
      <c r="AS37" s="42">
        <f t="shared" si="27"/>
        <v>6.008600171761918</v>
      </c>
      <c r="AT37" s="42">
        <f t="shared" si="28"/>
        <v>5.5888317255942068</v>
      </c>
      <c r="AU37" s="42">
        <f t="shared" si="29"/>
        <v>5.4281347940287885</v>
      </c>
      <c r="AV37" s="42">
        <f t="shared" si="33"/>
        <v>5.0253058652647704</v>
      </c>
      <c r="AW37" s="42">
        <f t="shared" si="31"/>
        <v>5.1673173347481764</v>
      </c>
      <c r="AX37" s="42" t="str">
        <f t="shared" si="8"/>
        <v/>
      </c>
      <c r="AY37" s="42" t="str">
        <f t="shared" si="6"/>
        <v/>
      </c>
      <c r="AZ37" s="42" t="str">
        <f t="shared" si="7"/>
        <v/>
      </c>
      <c r="BA37" s="42">
        <f t="shared" si="9"/>
        <v>4.5858365793648481</v>
      </c>
      <c r="BC37" s="42">
        <f t="shared" si="34"/>
        <v>0</v>
      </c>
      <c r="BD37" s="42">
        <f t="shared" si="41"/>
        <v>7</v>
      </c>
      <c r="BE37" s="42">
        <f t="shared" si="35"/>
        <v>14</v>
      </c>
      <c r="BF37" s="42">
        <f t="shared" si="36"/>
        <v>23</v>
      </c>
      <c r="BG37" s="42">
        <f t="shared" si="37"/>
        <v>28</v>
      </c>
      <c r="BH37" s="42" t="str">
        <f t="shared" si="10"/>
        <v/>
      </c>
      <c r="BI37" s="42" t="str">
        <f t="shared" si="38"/>
        <v/>
      </c>
      <c r="BJ37" s="42" t="str">
        <f t="shared" si="39"/>
        <v/>
      </c>
      <c r="BK37" s="42">
        <f t="shared" si="40"/>
        <v>57</v>
      </c>
      <c r="BN37" s="42">
        <f>INTERCEPT($AS37:AT37,$BC37:BD37)</f>
        <v>6.008600171761918</v>
      </c>
      <c r="BO37" s="42">
        <f>INTERCEPT($AS37:AU37,$BC37:BE37)</f>
        <v>5.9654215859948696</v>
      </c>
      <c r="BP37" s="42">
        <f>INTERCEPT($AS37:AV37,$BC37:BF37)</f>
        <v>5.9626505332708257</v>
      </c>
      <c r="BQ37" s="42">
        <f>INTERCEPT($AS37:AW37,$BC37:BG37)</f>
        <v>5.9011475552519501</v>
      </c>
      <c r="BR37" s="42">
        <f>INTERCEPT($AS37:AX37,$BC37:BH37)</f>
        <v>5.9011475552519501</v>
      </c>
      <c r="BS37" s="42">
        <f>INTERCEPT($AS37:AY37,$BC37:BI37)</f>
        <v>5.9011475552519501</v>
      </c>
      <c r="BT37" s="42">
        <f>INTERCEPT($AS37:AZ37,$BC37:BJ37)</f>
        <v>5.9011475552519501</v>
      </c>
      <c r="BU37" s="42">
        <f>INTERCEPT($AS37:BA37,$BC37:BK37)</f>
        <v>5.7977165539962341</v>
      </c>
      <c r="BX37" s="42">
        <f t="shared" si="19"/>
        <v>-5.9966920881101594E-2</v>
      </c>
      <c r="BY37" s="42">
        <f t="shared" si="20"/>
        <v>-4.1461812695223532E-2</v>
      </c>
      <c r="BZ37" s="42">
        <f t="shared" si="24"/>
        <v>-4.0902944918945909E-2</v>
      </c>
      <c r="CA37" s="42">
        <f t="shared" si="25"/>
        <v>-3.1771498400859625E-2</v>
      </c>
      <c r="CB37" s="42" t="str">
        <f t="shared" si="26"/>
        <v/>
      </c>
      <c r="CC37" s="42" t="str">
        <f t="shared" si="21"/>
        <v/>
      </c>
      <c r="CD37" s="42" t="str">
        <f t="shared" si="22"/>
        <v/>
      </c>
      <c r="CE37" s="42" t="str">
        <f t="shared" si="23"/>
        <v/>
      </c>
      <c r="CH37" s="42">
        <f>IF(S37&gt;0,((4-BN37)/(SLOPE($AS37:AT37, $BC37:BD37))),"")</f>
        <v>33.495136022482065</v>
      </c>
      <c r="CI37" s="42">
        <f>IF(T37&gt;0,((4-BO37)/(SLOPE($AS37:AU37, $BC37:BE37))),"")</f>
        <v>47.403175554388852</v>
      </c>
      <c r="CJ37" s="42">
        <f>IF(U37&gt;0,((4-BP37)/(SLOPE($AS37:AV37, $BC37:BF37))),"")</f>
        <v>47.983110682129443</v>
      </c>
      <c r="CK37" s="42">
        <f>IF(V37&gt;0,((4-BQ37)/(SLOPE($AS37:AW37, $BC37:BG37))),"")</f>
        <v>59.838145852148784</v>
      </c>
      <c r="CL37" s="42" t="str">
        <f>IF(W37&gt;0,((4-BR37)/(SLOPE($AS37:AX37, $BC37:BH37))),"")</f>
        <v/>
      </c>
      <c r="CM37" s="42" t="str">
        <f>IF(X37&gt;0,((4-BS37)/(SLOPE($AS37:AY37, $BC37:BI37))),"")</f>
        <v/>
      </c>
      <c r="CN37" s="42" t="str">
        <f>IF(Y37&gt;0,((4-BT37)/(SLOPE($AS37:AZ37, $BC37:BJ37))),"")</f>
        <v/>
      </c>
      <c r="CO37" s="42">
        <f>IF(Z37&gt;0,((4-BU37)/(SLOPE($AS37:BA37, $BC37:BK37))),"")</f>
        <v>77.761307190767212</v>
      </c>
    </row>
    <row r="38" spans="1:93" ht="32">
      <c r="A38" s="42">
        <v>25</v>
      </c>
      <c r="B38" s="123" t="s">
        <v>598</v>
      </c>
      <c r="C38" s="46" t="s">
        <v>107</v>
      </c>
      <c r="D38" s="46" t="s">
        <v>599</v>
      </c>
      <c r="E38" s="45" t="s">
        <v>61</v>
      </c>
      <c r="F38" s="52" t="s">
        <v>63</v>
      </c>
      <c r="G38" s="52"/>
      <c r="H38" s="54" t="s">
        <v>110</v>
      </c>
      <c r="I38" s="54" t="s">
        <v>457</v>
      </c>
      <c r="J38" s="62" t="s">
        <v>593</v>
      </c>
      <c r="K38" s="46">
        <v>21</v>
      </c>
      <c r="L38" s="46">
        <v>8</v>
      </c>
      <c r="M38" s="72" cm="1">
        <f t="array" ref="M38">LOOKUP(2,1/(ISNUMBER(BX38:CE38)),BX38:CE38)</f>
        <v>-2.71026311582288E-2</v>
      </c>
      <c r="N38" s="72" cm="1">
        <f t="array" ref="N38">LOOKUP(2,1/(ISNUMBER(CH38:CO38)),CH38:CO38)</f>
        <v>19.886906076434631</v>
      </c>
      <c r="O38" s="58">
        <v>1888888888.8888891</v>
      </c>
      <c r="P38" s="58">
        <v>269430125.62182403</v>
      </c>
      <c r="Q38" s="59">
        <f t="shared" si="32"/>
        <v>1.5777263055476061</v>
      </c>
      <c r="R38" s="60">
        <v>44300</v>
      </c>
      <c r="S38" s="60">
        <v>15400</v>
      </c>
      <c r="T38" s="60">
        <v>10400</v>
      </c>
      <c r="U38" s="60">
        <v>6760</v>
      </c>
      <c r="V38" s="47">
        <v>6680</v>
      </c>
      <c r="W38" s="47"/>
      <c r="X38" s="47"/>
      <c r="Y38" s="47"/>
      <c r="Z38" s="47">
        <v>1653.333333333333</v>
      </c>
      <c r="AA38" s="47"/>
      <c r="AB38" s="47"/>
      <c r="AC38" s="47"/>
      <c r="AD38" s="47"/>
      <c r="AE38" s="47"/>
      <c r="AF38" s="47"/>
      <c r="AG38" s="47"/>
      <c r="AH38" s="47"/>
      <c r="AI38" s="47">
        <v>666.13311982916264</v>
      </c>
      <c r="AJ38" s="61">
        <v>44979</v>
      </c>
      <c r="AK38" s="61">
        <v>44988</v>
      </c>
      <c r="AL38" s="61">
        <v>44993</v>
      </c>
      <c r="AM38" s="61">
        <v>45002</v>
      </c>
      <c r="AN38" s="49">
        <v>45009</v>
      </c>
      <c r="AO38" s="48"/>
      <c r="AP38" s="48"/>
      <c r="AQ38" s="48"/>
      <c r="AR38" s="48">
        <v>45034</v>
      </c>
      <c r="AS38" s="42">
        <f t="shared" si="27"/>
        <v>4.6464037262230695</v>
      </c>
      <c r="AT38" s="42">
        <f t="shared" si="28"/>
        <v>4.1875207208364627</v>
      </c>
      <c r="AU38" s="42">
        <f t="shared" si="29"/>
        <v>4.0170333392987807</v>
      </c>
      <c r="AV38" s="42">
        <f t="shared" si="33"/>
        <v>3.8299466959416359</v>
      </c>
      <c r="AW38" s="42">
        <f t="shared" si="31"/>
        <v>3.8247764624755458</v>
      </c>
      <c r="AX38" s="42" t="str">
        <f t="shared" si="8"/>
        <v/>
      </c>
      <c r="AY38" s="42" t="str">
        <f t="shared" si="6"/>
        <v/>
      </c>
      <c r="AZ38" s="42" t="str">
        <f t="shared" si="7"/>
        <v/>
      </c>
      <c r="BA38" s="42">
        <f t="shared" si="9"/>
        <v>3.2183604217705351</v>
      </c>
      <c r="BC38" s="42">
        <f t="shared" si="34"/>
        <v>0</v>
      </c>
      <c r="BD38" s="42">
        <f t="shared" si="41"/>
        <v>9</v>
      </c>
      <c r="BE38" s="42">
        <f t="shared" si="35"/>
        <v>14</v>
      </c>
      <c r="BF38" s="42">
        <f t="shared" si="36"/>
        <v>23</v>
      </c>
      <c r="BG38" s="42">
        <f t="shared" si="37"/>
        <v>30</v>
      </c>
      <c r="BH38" s="42" t="str">
        <f t="shared" si="10"/>
        <v/>
      </c>
      <c r="BI38" s="42" t="str">
        <f t="shared" si="38"/>
        <v/>
      </c>
      <c r="BJ38" s="42" t="str">
        <f t="shared" si="39"/>
        <v/>
      </c>
      <c r="BK38" s="42">
        <f t="shared" si="40"/>
        <v>55</v>
      </c>
      <c r="BN38" s="42">
        <f>INTERCEPT($AS38:AT38,$BC38:BD38)</f>
        <v>4.6464037262230695</v>
      </c>
      <c r="BO38" s="42">
        <f>INTERCEPT($AS38:AU38,$BC38:BE38)</f>
        <v>4.6338204713705213</v>
      </c>
      <c r="BP38" s="42">
        <f>INTERCEPT($AS38:AV38,$BC38:BF38)</f>
        <v>4.5777277612750877</v>
      </c>
      <c r="BQ38" s="42">
        <f>INTERCEPT($AS38:AW38,$BC38:BG38)</f>
        <v>4.5130961825601759</v>
      </c>
      <c r="BR38" s="42">
        <f>INTERCEPT($AS38:AX38,$BC38:BH38)</f>
        <v>4.5130961825601759</v>
      </c>
      <c r="BS38" s="42">
        <f>INTERCEPT($AS38:AY38,$BC38:BI38)</f>
        <v>4.5130961825601759</v>
      </c>
      <c r="BT38" s="42">
        <f>INTERCEPT($AS38:AZ38,$BC38:BJ38)</f>
        <v>4.5130961825601759</v>
      </c>
      <c r="BU38" s="42">
        <f>INTERCEPT($AS38:BA38,$BC38:BK38)</f>
        <v>4.4699176748090288</v>
      </c>
      <c r="BX38" s="42">
        <f t="shared" si="19"/>
        <v>-5.0987000598511877E-2</v>
      </c>
      <c r="BY38" s="42">
        <f t="shared" si="20"/>
        <v>-4.5674070771880515E-2</v>
      </c>
      <c r="BZ38" s="42">
        <f t="shared" si="24"/>
        <v>-3.5434925278269643E-2</v>
      </c>
      <c r="CA38" s="42">
        <f t="shared" si="25"/>
        <v>-2.71026311582288E-2</v>
      </c>
      <c r="CB38" s="42" t="str">
        <f t="shared" si="26"/>
        <v/>
      </c>
      <c r="CC38" s="42" t="str">
        <f t="shared" si="21"/>
        <v/>
      </c>
      <c r="CD38" s="42" t="str">
        <f t="shared" si="22"/>
        <v/>
      </c>
      <c r="CE38" s="42" t="str">
        <f t="shared" si="23"/>
        <v/>
      </c>
      <c r="CH38" s="42">
        <f>IF(S38&gt;0,((4-BN38)/(SLOPE($AS38:AT38, $BC38:BD38))),"")</f>
        <v>12.677814318066313</v>
      </c>
      <c r="CI38" s="42">
        <f>IF(T38&gt;0,((4-BO38)/(SLOPE($AS38:AU38, $BC38:BE38))),"")</f>
        <v>13.877030460808768</v>
      </c>
      <c r="CJ38" s="42">
        <f>IF(U38&gt;0,((4-BP38)/(SLOPE($AS38:AV38, $BC38:BF38))),"")</f>
        <v>16.303907987337496</v>
      </c>
      <c r="CK38" s="42">
        <f>IF(V38&gt;0,((4-BQ38)/(SLOPE($AS38:AW38, $BC38:BG38))),"")</f>
        <v>18.931600388340581</v>
      </c>
      <c r="CL38" s="42" t="str">
        <f>IF(W38&gt;0,((4-BR38)/(SLOPE($AS38:AX38, $BC38:BH38))),"")</f>
        <v/>
      </c>
      <c r="CM38" s="42" t="str">
        <f>IF(X38&gt;0,((4-BS38)/(SLOPE($AS38:AY38, $BC38:BI38))),"")</f>
        <v/>
      </c>
      <c r="CN38" s="42" t="str">
        <f>IF(Y38&gt;0,((4-BT38)/(SLOPE($AS38:AZ38, $BC38:BJ38))),"")</f>
        <v/>
      </c>
      <c r="CO38" s="42">
        <f>IF(Z38&gt;0,((4-BU38)/(SLOPE($AS38:BA38, $BC38:BK38))),"")</f>
        <v>19.886906076434631</v>
      </c>
    </row>
    <row r="39" spans="1:93">
      <c r="A39" s="42">
        <v>31</v>
      </c>
      <c r="B39" s="123" t="s">
        <v>598</v>
      </c>
      <c r="C39" s="46" t="s">
        <v>118</v>
      </c>
      <c r="D39" s="46" t="s">
        <v>600</v>
      </c>
      <c r="E39" s="45" t="s">
        <v>35</v>
      </c>
      <c r="F39" s="52" t="s">
        <v>63</v>
      </c>
      <c r="G39" s="52"/>
      <c r="H39" s="52" t="s">
        <v>99</v>
      </c>
      <c r="I39" s="52" t="s">
        <v>99</v>
      </c>
      <c r="J39" s="62" t="s">
        <v>593</v>
      </c>
      <c r="K39" s="46">
        <v>4</v>
      </c>
      <c r="L39" s="46">
        <v>8</v>
      </c>
      <c r="M39" s="72" cm="1">
        <f t="array" ref="M39">LOOKUP(2,1/(ISNUMBER(BX39:CE39)),BX39:CE39)</f>
        <v>-3.1232555542236445E-2</v>
      </c>
      <c r="N39" s="72" cm="1">
        <f t="array" ref="N39">LOOKUP(2,1/(ISNUMBER(CH39:CO39)),CH39:CO39)</f>
        <v>80.45001274749059</v>
      </c>
      <c r="O39" s="58">
        <v>6622222222.2222223</v>
      </c>
      <c r="P39" s="58">
        <v>601233300.37638593</v>
      </c>
      <c r="Q39" s="59">
        <f t="shared" si="32"/>
        <v>0.78665613709307003</v>
      </c>
      <c r="R39" s="60">
        <v>960000</v>
      </c>
      <c r="S39" s="60">
        <v>232000</v>
      </c>
      <c r="T39" s="60">
        <v>137000</v>
      </c>
      <c r="U39" s="60">
        <v>124000</v>
      </c>
      <c r="V39" s="47">
        <v>91500</v>
      </c>
      <c r="W39" s="47"/>
      <c r="X39" s="47"/>
      <c r="Y39" s="47"/>
      <c r="Z39" s="47">
        <v>46799.999999999993</v>
      </c>
      <c r="AA39" s="47"/>
      <c r="AB39" s="47"/>
      <c r="AC39" s="47"/>
      <c r="AD39" s="47"/>
      <c r="AE39" s="47"/>
      <c r="AF39" s="47"/>
      <c r="AG39" s="47"/>
      <c r="AH39" s="47"/>
      <c r="AI39" s="47">
        <v>9457.2723340295106</v>
      </c>
      <c r="AJ39" s="61">
        <v>44979</v>
      </c>
      <c r="AK39" s="61">
        <v>44988</v>
      </c>
      <c r="AL39" s="61">
        <v>44993</v>
      </c>
      <c r="AM39" s="61">
        <v>45002</v>
      </c>
      <c r="AN39" s="49">
        <v>45009</v>
      </c>
      <c r="AO39" s="48"/>
      <c r="AP39" s="48"/>
      <c r="AQ39" s="48"/>
      <c r="AR39" s="48">
        <v>45034</v>
      </c>
      <c r="AS39" s="42">
        <f t="shared" si="27"/>
        <v>5.982271233039568</v>
      </c>
      <c r="AT39" s="42">
        <f t="shared" si="28"/>
        <v>5.3654879848908994</v>
      </c>
      <c r="AU39" s="42">
        <f t="shared" si="29"/>
        <v>5.1367205671564067</v>
      </c>
      <c r="AV39" s="42">
        <f t="shared" si="33"/>
        <v>5.0934216851622347</v>
      </c>
      <c r="AW39" s="42">
        <f t="shared" si="31"/>
        <v>4.9614210940664485</v>
      </c>
      <c r="AX39" s="42" t="str">
        <f t="shared" si="8"/>
        <v/>
      </c>
      <c r="AY39" s="42" t="str">
        <f t="shared" si="6"/>
        <v/>
      </c>
      <c r="AZ39" s="42" t="str">
        <f t="shared" si="7"/>
        <v/>
      </c>
      <c r="BA39" s="42">
        <f t="shared" si="9"/>
        <v>4.6702458530741238</v>
      </c>
      <c r="BC39" s="42">
        <f t="shared" ref="BC39:BC44" si="42">AJ39-$AJ39</f>
        <v>0</v>
      </c>
      <c r="BD39" s="42">
        <f t="shared" ref="BD39:BK44" si="43">IF(AK39&gt;1,(AK39-$AJ39),"")</f>
        <v>9</v>
      </c>
      <c r="BE39" s="42">
        <f t="shared" si="43"/>
        <v>14</v>
      </c>
      <c r="BF39" s="42">
        <f t="shared" si="43"/>
        <v>23</v>
      </c>
      <c r="BG39" s="42">
        <f t="shared" si="43"/>
        <v>30</v>
      </c>
      <c r="BH39" s="42" t="str">
        <f t="shared" si="43"/>
        <v/>
      </c>
      <c r="BI39" s="42" t="str">
        <f t="shared" si="43"/>
        <v/>
      </c>
      <c r="BJ39" s="42" t="str">
        <f t="shared" si="43"/>
        <v/>
      </c>
      <c r="BK39" s="42">
        <f t="shared" si="43"/>
        <v>55</v>
      </c>
      <c r="BN39" s="42">
        <f>INTERCEPT($AS39:AT39,$BC39:BD39)</f>
        <v>5.9822712330395671</v>
      </c>
      <c r="BO39" s="42">
        <f>INTERCEPT($AS39:AU39,$BC39:BE39)</f>
        <v>5.9653008773916714</v>
      </c>
      <c r="BP39" s="42">
        <f>INTERCEPT($AS39:AV39,$BC39:BF39)</f>
        <v>5.842588782604313</v>
      </c>
      <c r="BQ39" s="42">
        <f>INTERCEPT($AS39:AW39,$BC39:BG39)</f>
        <v>5.7825993571051049</v>
      </c>
      <c r="BR39" s="42">
        <f>INTERCEPT($AS39:AX39,$BC39:BH39)</f>
        <v>5.7825993571051049</v>
      </c>
      <c r="BS39" s="42">
        <f>INTERCEPT($AS39:AY39,$BC39:BI39)</f>
        <v>5.7825993571051049</v>
      </c>
      <c r="BT39" s="42">
        <f>INTERCEPT($AS39:AZ39,$BC39:BJ39)</f>
        <v>5.7825993571051049</v>
      </c>
      <c r="BU39" s="42">
        <f>INTERCEPT($AS39:BA39,$BC39:BK39)</f>
        <v>5.6491604917456879</v>
      </c>
      <c r="BX39" s="42">
        <f t="shared" ref="BX39:BX44" si="44">IF(S39&gt;1,(SLOPE(AS39:AT39, BC39:BD39)),"")</f>
        <v>-6.8531472016518727E-2</v>
      </c>
      <c r="BY39" s="42">
        <f t="shared" ref="BY39:BY44" si="45">IF(T39&gt;1,(SLOPE(AS39:AU39, BC39:BE39)),"")</f>
        <v>-6.1366210742962717E-2</v>
      </c>
      <c r="BZ39" s="42">
        <f t="shared" ref="BZ39:BZ44" si="46">IF(U39&gt;1,(SLOPE(AS39:AV39, BC39:BF39)),"")</f>
        <v>-3.8966383916698794E-2</v>
      </c>
      <c r="CA39" s="42">
        <f t="shared" ref="CA39:CA44" si="47">IF(V39&gt;1,(SLOPE(AS39:AW39, BC39:BG39)),"")</f>
        <v>-3.1232555542236445E-2</v>
      </c>
      <c r="CB39" s="42" t="str">
        <f t="shared" ref="CB39:CB44" si="48">IF(W39&gt;1,(SLOPE(AS39:AX39, BC39:BH39)),"")</f>
        <v/>
      </c>
      <c r="CC39" s="42" t="str">
        <f t="shared" ref="CC39:CC44" si="49">IF(X39&gt;1,(SLOPE(AS39:AY39, BC39:BI39)),"")</f>
        <v/>
      </c>
      <c r="CD39" s="42" t="str">
        <f t="shared" ref="CD39:CD44" si="50">IF(X39&gt;1,(SLOPE(AS39:AZ39, BC39:BJ39)),"")</f>
        <v/>
      </c>
      <c r="CE39" s="42" t="str">
        <f t="shared" ref="CE39:CE44" si="51">IF(Y39&gt;1,(SLOPE(AS39:BA39, BC39:BK39)),"")</f>
        <v/>
      </c>
      <c r="CH39" s="42">
        <f>IF(S39&gt;0,((4-BN39)/(SLOPE($AS39:AT39, $BC39:BD39))),"")</f>
        <v>28.924976725463644</v>
      </c>
      <c r="CI39" s="42">
        <f>IF(T39&gt;0,((4-BO39)/(SLOPE($AS39:AU39, $BC39:BE39))),"")</f>
        <v>32.025781836579277</v>
      </c>
      <c r="CJ39" s="42">
        <f>IF(U39&gt;0,((4-BP39)/(SLOPE($AS39:AV39, $BC39:BF39))),"")</f>
        <v>47.28662496739102</v>
      </c>
      <c r="CK39" s="42">
        <f>IF(V39&gt;0,((4-BQ39)/(SLOPE($AS39:AW39, $BC39:BG39))),"")</f>
        <v>57.075040007355724</v>
      </c>
      <c r="CL39" s="42" t="str">
        <f>IF(W39&gt;0,((4-BR39)/(SLOPE($AS39:AX39, $BC39:BH39))),"")</f>
        <v/>
      </c>
      <c r="CM39" s="42" t="str">
        <f>IF(X39&gt;0,((4-BS39)/(SLOPE($AS39:AY39, $BC39:BI39))),"")</f>
        <v/>
      </c>
      <c r="CN39" s="42" t="str">
        <f>IF(Y39&gt;0,((4-BT39)/(SLOPE($AS39:AZ39, $BC39:BJ39))),"")</f>
        <v/>
      </c>
      <c r="CO39" s="42">
        <f>IF(Z39&gt;0,((4-BU39)/(SLOPE($AS39:BA39, $BC39:BK39))),"")</f>
        <v>80.45001274749059</v>
      </c>
    </row>
    <row r="40" spans="1:93" ht="32">
      <c r="A40" s="42">
        <v>38</v>
      </c>
      <c r="B40" s="123" t="s">
        <v>598</v>
      </c>
      <c r="C40" s="46" t="s">
        <v>129</v>
      </c>
      <c r="D40" s="46" t="s">
        <v>601</v>
      </c>
      <c r="E40" s="45" t="s">
        <v>61</v>
      </c>
      <c r="F40" s="52" t="s">
        <v>39</v>
      </c>
      <c r="G40" s="52"/>
      <c r="H40" s="54" t="s">
        <v>110</v>
      </c>
      <c r="I40" s="54" t="s">
        <v>457</v>
      </c>
      <c r="J40" s="62" t="s">
        <v>593</v>
      </c>
      <c r="K40" s="46">
        <v>21</v>
      </c>
      <c r="L40" s="46">
        <v>8</v>
      </c>
      <c r="M40" s="72" cm="1">
        <f t="array" ref="M40">LOOKUP(2,1/(ISNUMBER(BX40:CE40)),BX40:CE40)</f>
        <v>-3.0559888496631805E-2</v>
      </c>
      <c r="N40" s="72" cm="1">
        <f t="array" ref="N40">LOOKUP(2,1/(ISNUMBER(CH40:CO40)),CH40:CO40)</f>
        <v>-5.28430592439687</v>
      </c>
      <c r="O40" s="58">
        <v>393333333.33333331</v>
      </c>
      <c r="P40" s="58">
        <v>11547005.383792516</v>
      </c>
      <c r="Q40" s="59">
        <f t="shared" si="32"/>
        <v>1.2802332826877594</v>
      </c>
      <c r="R40" s="60">
        <v>18300</v>
      </c>
      <c r="S40" s="60">
        <v>4630</v>
      </c>
      <c r="T40" s="60">
        <v>2190</v>
      </c>
      <c r="U40" s="60">
        <v>2430</v>
      </c>
      <c r="V40" s="47">
        <v>1830</v>
      </c>
      <c r="W40" s="47"/>
      <c r="X40" s="47"/>
      <c r="Y40" s="47"/>
      <c r="Z40" s="47">
        <v>1079.9999999999998</v>
      </c>
      <c r="AA40" s="47"/>
      <c r="AB40" s="47"/>
      <c r="AC40" s="47"/>
      <c r="AD40" s="47"/>
      <c r="AE40" s="47"/>
      <c r="AF40" s="47"/>
      <c r="AG40" s="47"/>
      <c r="AH40" s="47"/>
      <c r="AI40" s="47">
        <v>312.40998703626616</v>
      </c>
      <c r="AJ40" s="61">
        <v>44979</v>
      </c>
      <c r="AK40" s="61">
        <v>44988</v>
      </c>
      <c r="AL40" s="61">
        <v>44993</v>
      </c>
      <c r="AM40" s="61">
        <v>45002</v>
      </c>
      <c r="AN40" s="49">
        <v>45009</v>
      </c>
      <c r="AO40" s="48"/>
      <c r="AP40" s="48"/>
      <c r="AQ40" s="48"/>
      <c r="AR40" s="48">
        <v>45034</v>
      </c>
      <c r="AS40" s="42">
        <f t="shared" si="27"/>
        <v>4.2624510897304297</v>
      </c>
      <c r="AT40" s="42">
        <f t="shared" si="28"/>
        <v>3.6655809910179533</v>
      </c>
      <c r="AU40" s="42">
        <f t="shared" si="29"/>
        <v>3.3404441148401185</v>
      </c>
      <c r="AV40" s="42">
        <f t="shared" si="33"/>
        <v>3.3856062735983121</v>
      </c>
      <c r="AW40" s="42">
        <f t="shared" si="31"/>
        <v>3.2624510897304293</v>
      </c>
      <c r="AX40" s="42" t="str">
        <f t="shared" si="8"/>
        <v/>
      </c>
      <c r="AY40" s="42" t="str">
        <f t="shared" si="6"/>
        <v/>
      </c>
      <c r="AZ40" s="42" t="str">
        <f t="shared" si="7"/>
        <v/>
      </c>
      <c r="BA40" s="42">
        <f t="shared" si="9"/>
        <v>3.0334237554869494</v>
      </c>
      <c r="BC40" s="42">
        <f t="shared" si="42"/>
        <v>0</v>
      </c>
      <c r="BD40" s="42">
        <f t="shared" si="43"/>
        <v>9</v>
      </c>
      <c r="BE40" s="42">
        <f t="shared" si="43"/>
        <v>14</v>
      </c>
      <c r="BF40" s="42">
        <f t="shared" si="43"/>
        <v>23</v>
      </c>
      <c r="BG40" s="42">
        <f t="shared" si="43"/>
        <v>30</v>
      </c>
      <c r="BH40" s="42" t="str">
        <f t="shared" si="43"/>
        <v/>
      </c>
      <c r="BI40" s="42" t="str">
        <f t="shared" si="43"/>
        <v/>
      </c>
      <c r="BJ40" s="42" t="str">
        <f t="shared" si="43"/>
        <v/>
      </c>
      <c r="BK40" s="42">
        <f t="shared" si="43"/>
        <v>55</v>
      </c>
      <c r="BN40" s="42">
        <f>INTERCEPT($AS40:AT40,$BC40:BD40)</f>
        <v>4.2624510897304297</v>
      </c>
      <c r="BO40" s="42">
        <f>INTERCEPT($AS40:AU40,$BC40:BE40)</f>
        <v>4.2614888611217898</v>
      </c>
      <c r="BP40" s="42">
        <f>INTERCEPT($AS40:AV40,$BC40:BF40)</f>
        <v>4.1159047765876249</v>
      </c>
      <c r="BQ40" s="42">
        <f>INTERCEPT($AS40:AW40,$BC40:BG40)</f>
        <v>4.0478170169322523</v>
      </c>
      <c r="BR40" s="42">
        <f>INTERCEPT($AS40:AX40,$BC40:BH40)</f>
        <v>4.0478170169322523</v>
      </c>
      <c r="BS40" s="42">
        <f>INTERCEPT($AS40:AY40,$BC40:BI40)</f>
        <v>4.0478170169322523</v>
      </c>
      <c r="BT40" s="42">
        <f>INTERCEPT($AS40:AZ40,$BC40:BJ40)</f>
        <v>4.0478170169322523</v>
      </c>
      <c r="BU40" s="42">
        <f>INTERCEPT($AS40:BA40,$BC40:BK40)</f>
        <v>3.9009417297232538</v>
      </c>
      <c r="BX40" s="42">
        <f t="shared" si="44"/>
        <v>-6.6318899856941824E-2</v>
      </c>
      <c r="BY40" s="42">
        <f t="shared" si="45"/>
        <v>-6.5912625555515955E-2</v>
      </c>
      <c r="BZ40" s="42">
        <f t="shared" si="46"/>
        <v>-3.9337752981819275E-2</v>
      </c>
      <c r="CA40" s="42">
        <f t="shared" si="47"/>
        <v>-3.0559888496631805E-2</v>
      </c>
      <c r="CB40" s="42" t="str">
        <f t="shared" si="48"/>
        <v/>
      </c>
      <c r="CC40" s="42" t="str">
        <f t="shared" si="49"/>
        <v/>
      </c>
      <c r="CD40" s="42" t="str">
        <f t="shared" si="50"/>
        <v/>
      </c>
      <c r="CE40" s="42" t="str">
        <f t="shared" si="51"/>
        <v/>
      </c>
      <c r="CH40" s="42">
        <f>IF(S40&gt;0,((4-BN40)/(SLOPE($AS40:AT40, $BC40:BD40))),"")</f>
        <v>3.9574101846769114</v>
      </c>
      <c r="CI40" s="42">
        <f>IF(T40&gt;0,((4-BO40)/(SLOPE($AS40:AU40, $BC40:BE40))),"")</f>
        <v>3.9672044455511286</v>
      </c>
      <c r="CJ40" s="42">
        <f>IF(U40&gt;0,((4-BP40)/(SLOPE($AS40:AV40, $BC40:BF40))),"")</f>
        <v>2.946400538973148</v>
      </c>
      <c r="CK40" s="42">
        <f>IF(V40&gt;0,((4-BQ40)/(SLOPE($AS40:AW40, $BC40:BG40))),"")</f>
        <v>1.5646986715125768</v>
      </c>
      <c r="CL40" s="42" t="str">
        <f>IF(W40&gt;0,((4-BR40)/(SLOPE($AS40:AX40, $BC40:BH40))),"")</f>
        <v/>
      </c>
      <c r="CM40" s="42" t="str">
        <f>IF(X40&gt;0,((4-BS40)/(SLOPE($AS40:AY40, $BC40:BI40))),"")</f>
        <v/>
      </c>
      <c r="CN40" s="42" t="str">
        <f>IF(Y40&gt;0,((4-BT40)/(SLOPE($AS40:AZ40, $BC40:BJ40))),"")</f>
        <v/>
      </c>
      <c r="CO40" s="42">
        <f>IF(Z40&gt;0,((4-BU40)/(SLOPE($AS40:BA40, $BC40:BK40))),"")</f>
        <v>-5.28430592439687</v>
      </c>
    </row>
    <row r="41" spans="1:93">
      <c r="A41" s="42">
        <v>43</v>
      </c>
      <c r="B41" s="123" t="s">
        <v>598</v>
      </c>
      <c r="C41" s="46" t="s">
        <v>142</v>
      </c>
      <c r="D41" s="46" t="s">
        <v>602</v>
      </c>
      <c r="E41" s="45" t="s">
        <v>61</v>
      </c>
      <c r="F41" s="52" t="s">
        <v>63</v>
      </c>
      <c r="G41" s="52"/>
      <c r="H41" s="52" t="s">
        <v>145</v>
      </c>
      <c r="I41" s="52" t="s">
        <v>463</v>
      </c>
      <c r="J41" s="62" t="s">
        <v>593</v>
      </c>
      <c r="K41" s="46">
        <v>21</v>
      </c>
      <c r="L41" s="46">
        <v>4</v>
      </c>
      <c r="M41" s="72" cm="1">
        <f t="array" ref="M41">LOOKUP(2,1/(ISNUMBER(BX41:CE41)),BX41:CE41)</f>
        <v>-3.2098147579894688E-2</v>
      </c>
      <c r="N41" s="72" cm="1">
        <f t="array" ref="N41">LOOKUP(2,1/(ISNUMBER(CH41:CO41)),CH41:CO41)</f>
        <v>37.124458064648074</v>
      </c>
      <c r="O41" s="58">
        <v>27555555555.555557</v>
      </c>
      <c r="P41" s="58">
        <v>4438885412.3195896</v>
      </c>
      <c r="Q41" s="59">
        <f t="shared" si="32"/>
        <v>2.354709035731668</v>
      </c>
      <c r="R41" s="60">
        <v>108000</v>
      </c>
      <c r="S41" s="60">
        <v>53700</v>
      </c>
      <c r="T41" s="60">
        <v>12800</v>
      </c>
      <c r="U41" s="60">
        <v>11200</v>
      </c>
      <c r="V41" s="47">
        <v>14300</v>
      </c>
      <c r="W41" s="47"/>
      <c r="X41" s="47"/>
      <c r="Y41" s="47"/>
      <c r="Z41" s="47">
        <v>6266.6666666666661</v>
      </c>
      <c r="AA41" s="47"/>
      <c r="AB41" s="47"/>
      <c r="AC41" s="47"/>
      <c r="AD41" s="47"/>
      <c r="AE41" s="47"/>
      <c r="AF41" s="47"/>
      <c r="AG41" s="47"/>
      <c r="AH41" s="47"/>
      <c r="AI41" s="47">
        <v>1404.7538337136973</v>
      </c>
      <c r="AJ41" s="61">
        <v>44979</v>
      </c>
      <c r="AK41" s="61">
        <v>44988</v>
      </c>
      <c r="AL41" s="61">
        <v>44993</v>
      </c>
      <c r="AM41" s="61">
        <v>45002</v>
      </c>
      <c r="AN41" s="49">
        <v>45009</v>
      </c>
      <c r="AO41" s="48"/>
      <c r="AP41" s="48"/>
      <c r="AQ41" s="48"/>
      <c r="AR41" s="48">
        <v>45034</v>
      </c>
      <c r="AS41" s="42">
        <f t="shared" si="27"/>
        <v>5.0334237554869494</v>
      </c>
      <c r="AT41" s="42">
        <f t="shared" si="28"/>
        <v>4.7299742856995559</v>
      </c>
      <c r="AU41" s="42">
        <f t="shared" si="29"/>
        <v>4.1072099696478688</v>
      </c>
      <c r="AV41" s="42">
        <f t="shared" si="33"/>
        <v>4.0492180226701819</v>
      </c>
      <c r="AW41" s="42">
        <f t="shared" si="31"/>
        <v>4.1553360374650614</v>
      </c>
      <c r="AX41" s="42" t="str">
        <f t="shared" si="8"/>
        <v/>
      </c>
      <c r="AY41" s="42" t="str">
        <f t="shared" si="6"/>
        <v/>
      </c>
      <c r="AZ41" s="42" t="str">
        <f t="shared" si="7"/>
        <v/>
      </c>
      <c r="BA41" s="42">
        <f t="shared" si="9"/>
        <v>3.7970365945440174</v>
      </c>
      <c r="BC41" s="42">
        <f t="shared" si="42"/>
        <v>0</v>
      </c>
      <c r="BD41" s="42">
        <f t="shared" si="43"/>
        <v>9</v>
      </c>
      <c r="BE41" s="42">
        <f t="shared" si="43"/>
        <v>14</v>
      </c>
      <c r="BF41" s="42">
        <f t="shared" si="43"/>
        <v>23</v>
      </c>
      <c r="BG41" s="42">
        <f t="shared" si="43"/>
        <v>30</v>
      </c>
      <c r="BH41" s="42" t="str">
        <f t="shared" si="43"/>
        <v/>
      </c>
      <c r="BI41" s="42" t="str">
        <f t="shared" si="43"/>
        <v/>
      </c>
      <c r="BJ41" s="42" t="str">
        <f t="shared" si="43"/>
        <v/>
      </c>
      <c r="BK41" s="42">
        <f t="shared" si="43"/>
        <v>55</v>
      </c>
      <c r="BN41" s="42">
        <f>INTERCEPT($AS41:AT41,$BC41:BD41)</f>
        <v>5.0334237554869494</v>
      </c>
      <c r="BO41" s="42">
        <f>INTERCEPT($AS41:AU41,$BC41:BE41)</f>
        <v>5.101099773624834</v>
      </c>
      <c r="BP41" s="42">
        <f>INTERCEPT($AS41:AV41,$BC41:BF41)</f>
        <v>5.014489657298534</v>
      </c>
      <c r="BQ41" s="42">
        <f>INTERCEPT($AS41:AW41,$BC41:BG41)</f>
        <v>4.9029242574083227</v>
      </c>
      <c r="BR41" s="42">
        <f>INTERCEPT($AS41:AX41,$BC41:BH41)</f>
        <v>4.9029242574083227</v>
      </c>
      <c r="BS41" s="42">
        <f>INTERCEPT($AS41:AY41,$BC41:BI41)</f>
        <v>4.9029242574083227</v>
      </c>
      <c r="BT41" s="42">
        <f>INTERCEPT($AS41:AZ41,$BC41:BJ41)</f>
        <v>4.9029242574083227</v>
      </c>
      <c r="BU41" s="42">
        <f>INTERCEPT($AS41:BA41,$BC41:BK41)</f>
        <v>4.7575675658029795</v>
      </c>
      <c r="BX41" s="42">
        <f t="shared" si="44"/>
        <v>-3.3716607754154831E-2</v>
      </c>
      <c r="BY41" s="42">
        <f t="shared" si="45"/>
        <v>-6.2290926523483788E-2</v>
      </c>
      <c r="BZ41" s="42">
        <f t="shared" si="46"/>
        <v>-4.6481143384556119E-2</v>
      </c>
      <c r="CA41" s="42">
        <f t="shared" si="47"/>
        <v>-3.2098147579894688E-2</v>
      </c>
      <c r="CB41" s="42" t="str">
        <f t="shared" si="48"/>
        <v/>
      </c>
      <c r="CC41" s="42" t="str">
        <f t="shared" si="49"/>
        <v/>
      </c>
      <c r="CD41" s="42" t="str">
        <f t="shared" si="50"/>
        <v/>
      </c>
      <c r="CE41" s="42" t="str">
        <f t="shared" si="51"/>
        <v/>
      </c>
      <c r="CH41" s="42">
        <f>IF(S41&gt;0,((4-BN41)/(SLOPE($AS41:AT41, $BC41:BD41))),"")</f>
        <v>30.650288517224947</v>
      </c>
      <c r="CI41" s="42">
        <f>IF(T41&gt;0,((4-BO41)/(SLOPE($AS41:AU41, $BC41:BE41))),"")</f>
        <v>17.676728138081515</v>
      </c>
      <c r="CJ41" s="42">
        <f>IF(U41&gt;0,((4-BP41)/(SLOPE($AS41:AV41, $BC41:BF41))),"")</f>
        <v>21.82583265874672</v>
      </c>
      <c r="CK41" s="42">
        <f>IF(V41&gt;0,((4-BQ41)/(SLOPE($AS41:AW41, $BC41:BG41))),"")</f>
        <v>28.130104865424922</v>
      </c>
      <c r="CL41" s="42" t="str">
        <f>IF(W41&gt;0,((4-BR41)/(SLOPE($AS41:AX41, $BC41:BH41))),"")</f>
        <v/>
      </c>
      <c r="CM41" s="42" t="str">
        <f>IF(X41&gt;0,((4-BS41)/(SLOPE($AS41:AY41, $BC41:BI41))),"")</f>
        <v/>
      </c>
      <c r="CN41" s="42" t="str">
        <f>IF(Y41&gt;0,((4-BT41)/(SLOPE($AS41:AZ41, $BC41:BJ41))),"")</f>
        <v/>
      </c>
      <c r="CO41" s="42">
        <f>IF(Z41&gt;0,((4-BU41)/(SLOPE($AS41:BA41, $BC41:BK41))),"")</f>
        <v>37.124458064648074</v>
      </c>
    </row>
    <row r="42" spans="1:93">
      <c r="A42" s="42">
        <v>45</v>
      </c>
      <c r="B42" s="123" t="s">
        <v>598</v>
      </c>
      <c r="C42" s="46" t="s">
        <v>142</v>
      </c>
      <c r="D42" s="46" t="s">
        <v>603</v>
      </c>
      <c r="E42" s="45" t="s">
        <v>61</v>
      </c>
      <c r="F42" s="52" t="s">
        <v>63</v>
      </c>
      <c r="G42" s="52"/>
      <c r="H42" s="52" t="s">
        <v>145</v>
      </c>
      <c r="I42" s="52" t="s">
        <v>463</v>
      </c>
      <c r="J42" s="62" t="s">
        <v>593</v>
      </c>
      <c r="K42" s="46">
        <v>4</v>
      </c>
      <c r="L42" s="46">
        <v>4</v>
      </c>
      <c r="M42" s="72" cm="1">
        <f t="array" ref="M42">LOOKUP(2,1/(ISNUMBER(BX42:CE42)),BX42:CE42)</f>
        <v>-3.2666702731390315E-2</v>
      </c>
      <c r="N42" s="72" cm="1">
        <f t="array" ref="N42">LOOKUP(2,1/(ISNUMBER(CH42:CO42)),CH42:CO42)</f>
        <v>73.624654816810562</v>
      </c>
      <c r="O42" s="58">
        <v>27555555555.555557</v>
      </c>
      <c r="P42" s="58">
        <v>4438885412.3195896</v>
      </c>
      <c r="Q42" s="59">
        <f t="shared" si="32"/>
        <v>1.8141015234908986</v>
      </c>
      <c r="R42" s="60">
        <v>375000</v>
      </c>
      <c r="S42" s="60">
        <v>154000</v>
      </c>
      <c r="T42" s="60">
        <v>73600</v>
      </c>
      <c r="U42" s="60">
        <v>55500</v>
      </c>
      <c r="V42" s="47">
        <v>37700</v>
      </c>
      <c r="W42" s="47"/>
      <c r="X42" s="47"/>
      <c r="Y42" s="47"/>
      <c r="Z42" s="47">
        <v>34399.999999999993</v>
      </c>
      <c r="AA42" s="47"/>
      <c r="AB42" s="47"/>
      <c r="AC42" s="47"/>
      <c r="AD42" s="47"/>
      <c r="AE42" s="47"/>
      <c r="AF42" s="47"/>
      <c r="AG42" s="47"/>
      <c r="AH42" s="47"/>
      <c r="AI42" s="47">
        <v>6349.8031465550175</v>
      </c>
      <c r="AJ42" s="61">
        <v>44979</v>
      </c>
      <c r="AK42" s="61">
        <v>44988</v>
      </c>
      <c r="AL42" s="61">
        <v>44993</v>
      </c>
      <c r="AM42" s="61">
        <v>45002</v>
      </c>
      <c r="AN42" s="49">
        <v>45009</v>
      </c>
      <c r="AO42" s="48"/>
      <c r="AP42" s="48"/>
      <c r="AQ42" s="48"/>
      <c r="AR42" s="48">
        <v>45034</v>
      </c>
      <c r="AS42" s="42">
        <f t="shared" si="27"/>
        <v>5.5740312677277188</v>
      </c>
      <c r="AT42" s="42">
        <f t="shared" si="28"/>
        <v>5.1875207208364627</v>
      </c>
      <c r="AU42" s="42">
        <f t="shared" si="29"/>
        <v>4.8668778143374984</v>
      </c>
      <c r="AV42" s="42">
        <f t="shared" si="33"/>
        <v>4.7442929831226763</v>
      </c>
      <c r="AW42" s="42">
        <f t="shared" si="31"/>
        <v>4.5763413502057926</v>
      </c>
      <c r="AX42" s="42" t="str">
        <f t="shared" si="8"/>
        <v/>
      </c>
      <c r="AY42" s="42" t="str">
        <f t="shared" si="6"/>
        <v/>
      </c>
      <c r="AZ42" s="42" t="str">
        <f t="shared" si="7"/>
        <v/>
      </c>
      <c r="BA42" s="42">
        <f t="shared" si="9"/>
        <v>4.53655844257153</v>
      </c>
      <c r="BC42" s="42">
        <f t="shared" si="42"/>
        <v>0</v>
      </c>
      <c r="BD42" s="42">
        <f t="shared" si="43"/>
        <v>9</v>
      </c>
      <c r="BE42" s="42">
        <f t="shared" si="43"/>
        <v>14</v>
      </c>
      <c r="BF42" s="42">
        <f t="shared" si="43"/>
        <v>23</v>
      </c>
      <c r="BG42" s="42">
        <f t="shared" si="43"/>
        <v>30</v>
      </c>
      <c r="BH42" s="42" t="str">
        <f t="shared" si="43"/>
        <v/>
      </c>
      <c r="BI42" s="42" t="str">
        <f t="shared" si="43"/>
        <v/>
      </c>
      <c r="BJ42" s="42" t="str">
        <f t="shared" si="43"/>
        <v/>
      </c>
      <c r="BK42" s="42">
        <f t="shared" si="43"/>
        <v>55</v>
      </c>
      <c r="BN42" s="42">
        <f>INTERCEPT($AS42:AT42,$BC42:BD42)</f>
        <v>5.5740312677277188</v>
      </c>
      <c r="BO42" s="42">
        <f>INTERCEPT($AS42:AU42,$BC42:BE42)</f>
        <v>5.589813278059415</v>
      </c>
      <c r="BP42" s="42">
        <f>INTERCEPT($AS42:AV42,$BC42:BF42)</f>
        <v>5.5226080311662411</v>
      </c>
      <c r="BQ42" s="42">
        <f>INTERCEPT($AS42:AW42,$BC42:BG42)</f>
        <v>5.4863467087631621</v>
      </c>
      <c r="BR42" s="42">
        <f>INTERCEPT($AS42:AX42,$BC42:BH42)</f>
        <v>5.4863467087631621</v>
      </c>
      <c r="BS42" s="42">
        <f>INTERCEPT($AS42:AY42,$BC42:BI42)</f>
        <v>5.4863467087631621</v>
      </c>
      <c r="BT42" s="42">
        <f>INTERCEPT($AS42:AZ42,$BC42:BJ42)</f>
        <v>5.4863467087631621</v>
      </c>
      <c r="BU42" s="42">
        <f>INTERCEPT($AS42:BA42,$BC42:BK42)</f>
        <v>5.299693517662746</v>
      </c>
      <c r="BX42" s="42">
        <f t="shared" si="44"/>
        <v>-4.2945616321250685E-2</v>
      </c>
      <c r="BY42" s="42">
        <f t="shared" si="45"/>
        <v>-4.9609131794633152E-2</v>
      </c>
      <c r="BZ42" s="42">
        <f t="shared" si="46"/>
        <v>-3.7341507361752346E-2</v>
      </c>
      <c r="CA42" s="42">
        <f t="shared" si="47"/>
        <v>-3.2666702731390315E-2</v>
      </c>
      <c r="CB42" s="42" t="str">
        <f t="shared" si="48"/>
        <v/>
      </c>
      <c r="CC42" s="42" t="str">
        <f t="shared" si="49"/>
        <v/>
      </c>
      <c r="CD42" s="42" t="str">
        <f t="shared" si="50"/>
        <v/>
      </c>
      <c r="CE42" s="42" t="str">
        <f t="shared" si="51"/>
        <v/>
      </c>
      <c r="CH42" s="42">
        <f>IF(S42&gt;0,((4-BN42)/(SLOPE($AS42:AT42, $BC42:BD42))),"")</f>
        <v>36.651733111787813</v>
      </c>
      <c r="CI42" s="42">
        <f>IF(T42&gt;0,((4-BO42)/(SLOPE($AS42:AU42, $BC42:BE42))),"")</f>
        <v>32.046786963351074</v>
      </c>
      <c r="CJ42" s="42">
        <f>IF(U42&gt;0,((4-BP42)/(SLOPE($AS42:AV42, $BC42:BF42))),"")</f>
        <v>40.775216072980427</v>
      </c>
      <c r="CK42" s="42">
        <f>IF(V42&gt;0,((4-BQ42)/(SLOPE($AS42:AW42, $BC42:BG42))),"")</f>
        <v>45.500359218529013</v>
      </c>
      <c r="CL42" s="42" t="str">
        <f>IF(W42&gt;0,((4-BR42)/(SLOPE($AS42:AX42, $BC42:BH42))),"")</f>
        <v/>
      </c>
      <c r="CM42" s="42" t="str">
        <f>IF(X42&gt;0,((4-BS42)/(SLOPE($AS42:AY42, $BC42:BI42))),"")</f>
        <v/>
      </c>
      <c r="CN42" s="42" t="str">
        <f>IF(Y42&gt;0,((4-BT42)/(SLOPE($AS42:AZ42, $BC42:BJ42))),"")</f>
        <v/>
      </c>
      <c r="CO42" s="42">
        <f>IF(Z42&gt;0,((4-BU42)/(SLOPE($AS42:BA42, $BC42:BK42))),"")</f>
        <v>73.624654816810562</v>
      </c>
    </row>
    <row r="43" spans="1:93">
      <c r="A43" s="42">
        <v>65</v>
      </c>
      <c r="B43" s="123" t="s">
        <v>598</v>
      </c>
      <c r="C43" s="46" t="s">
        <v>169</v>
      </c>
      <c r="D43" s="46" t="s">
        <v>604</v>
      </c>
      <c r="E43" s="45" t="s">
        <v>61</v>
      </c>
      <c r="F43" s="52" t="s">
        <v>39</v>
      </c>
      <c r="G43" s="52"/>
      <c r="H43" s="52" t="s">
        <v>145</v>
      </c>
      <c r="I43" s="52" t="s">
        <v>463</v>
      </c>
      <c r="J43" s="62" t="s">
        <v>593</v>
      </c>
      <c r="K43" s="46">
        <v>21</v>
      </c>
      <c r="L43" s="46">
        <v>4</v>
      </c>
      <c r="M43" s="72" cm="1">
        <f t="array" ref="M43">LOOKUP(2,1/(ISNUMBER(BX43:CE43)),BX43:CE43)</f>
        <v>-3.8709227652557958E-2</v>
      </c>
      <c r="N43" s="72" cm="1">
        <f t="array" ref="N43">LOOKUP(2,1/(ISNUMBER(CH43:CO43)),CH43:CO43)</f>
        <v>7.0250185162227829</v>
      </c>
      <c r="O43" s="58">
        <v>2400000000.0000005</v>
      </c>
      <c r="P43" s="58">
        <v>461880215.35169911</v>
      </c>
      <c r="Q43" s="59">
        <f t="shared" si="32"/>
        <v>1.8672370187867839</v>
      </c>
      <c r="R43" s="60">
        <v>28900</v>
      </c>
      <c r="S43" s="60">
        <v>6430</v>
      </c>
      <c r="T43" s="60">
        <v>2190</v>
      </c>
      <c r="U43" s="60">
        <v>960</v>
      </c>
      <c r="V43" s="47">
        <v>1000</v>
      </c>
      <c r="W43" s="47"/>
      <c r="X43" s="47"/>
      <c r="Y43" s="47"/>
      <c r="Z43" s="47">
        <v>319.99999999999994</v>
      </c>
      <c r="AA43" s="47"/>
      <c r="AB43" s="47"/>
      <c r="AC43" s="47"/>
      <c r="AD43" s="47"/>
      <c r="AE43" s="47"/>
      <c r="AF43" s="47"/>
      <c r="AG43" s="47"/>
      <c r="AH43" s="47"/>
      <c r="AI43" s="47">
        <v>144.22205101855957</v>
      </c>
      <c r="AJ43" s="61">
        <v>44979</v>
      </c>
      <c r="AK43" s="61">
        <v>44988</v>
      </c>
      <c r="AL43" s="61">
        <v>44993</v>
      </c>
      <c r="AM43" s="61">
        <v>45002</v>
      </c>
      <c r="AN43" s="49">
        <v>45009</v>
      </c>
      <c r="AO43" s="117"/>
      <c r="AP43" s="117"/>
      <c r="AQ43" s="117"/>
      <c r="AR43" s="48">
        <v>45034</v>
      </c>
      <c r="AS43" s="42">
        <f t="shared" si="27"/>
        <v>4.4608978427565482</v>
      </c>
      <c r="AT43" s="42">
        <f t="shared" si="28"/>
        <v>3.8082109729242219</v>
      </c>
      <c r="AU43" s="42">
        <f t="shared" si="29"/>
        <v>3.3404441148401185</v>
      </c>
      <c r="AV43" s="42">
        <f>IF(S43&gt;0,(LOG(S43)),"")</f>
        <v>3.8082109729242219</v>
      </c>
      <c r="AW43" s="42">
        <f t="shared" si="31"/>
        <v>3</v>
      </c>
      <c r="AX43" s="42" t="str">
        <f t="shared" si="8"/>
        <v/>
      </c>
      <c r="BC43" s="42">
        <f t="shared" si="42"/>
        <v>0</v>
      </c>
      <c r="BD43" s="42">
        <f t="shared" si="43"/>
        <v>9</v>
      </c>
      <c r="BE43" s="42">
        <f t="shared" si="43"/>
        <v>14</v>
      </c>
      <c r="BF43" s="42">
        <f t="shared" si="43"/>
        <v>23</v>
      </c>
      <c r="BG43" s="42">
        <f t="shared" si="43"/>
        <v>30</v>
      </c>
      <c r="BH43" s="42" t="str">
        <f t="shared" si="43"/>
        <v/>
      </c>
      <c r="BI43" s="42" t="str">
        <f t="shared" si="43"/>
        <v/>
      </c>
      <c r="BJ43" s="42" t="str">
        <f t="shared" si="43"/>
        <v/>
      </c>
      <c r="BK43" s="42">
        <f t="shared" si="43"/>
        <v>55</v>
      </c>
      <c r="BN43" s="42">
        <f>INTERCEPT($AS43:AT43,$BC43:BD43)</f>
        <v>4.4608978427565482</v>
      </c>
      <c r="BO43" s="42">
        <f>INTERCEPT($AS43:AU43,$BC43:BE43)</f>
        <v>4.4765678323856086</v>
      </c>
      <c r="BP43" s="42">
        <f>INTERCEPT($AS43:AV43,$BC43:BF43)</f>
        <v>4.2146075307538515</v>
      </c>
      <c r="BQ43" s="42">
        <f>INTERCEPT($AS43:AW43,$BC43:BG43)</f>
        <v>4.2719330410079026</v>
      </c>
      <c r="BR43" s="42">
        <f>INTERCEPT($AS43:AX43,$BC43:BH43)</f>
        <v>4.2719330410079026</v>
      </c>
      <c r="BS43" s="42">
        <f>INTERCEPT($AS43:AY43,$BC43:BI43)</f>
        <v>4.2719330410079026</v>
      </c>
      <c r="BT43" s="42">
        <f>INTERCEPT($AS43:AZ43,$BC43:BJ43)</f>
        <v>4.2719330410079026</v>
      </c>
      <c r="BU43" s="42">
        <f>INTERCEPT($AS43:BA43,$BC43:BK43)</f>
        <v>4.2719330410079026</v>
      </c>
      <c r="BX43" s="42">
        <f t="shared" si="44"/>
        <v>-7.2520763314702918E-2</v>
      </c>
      <c r="BY43" s="42">
        <f t="shared" si="45"/>
        <v>-7.9136981158084319E-2</v>
      </c>
      <c r="BZ43" s="42">
        <f t="shared" si="46"/>
        <v>-3.131883086022387E-2</v>
      </c>
      <c r="CA43" s="42">
        <f t="shared" si="47"/>
        <v>-3.8709227652557958E-2</v>
      </c>
      <c r="CB43" s="42" t="str">
        <f t="shared" si="48"/>
        <v/>
      </c>
      <c r="CC43" s="42" t="str">
        <f t="shared" si="49"/>
        <v/>
      </c>
      <c r="CD43" s="42" t="str">
        <f t="shared" si="50"/>
        <v/>
      </c>
      <c r="CE43" s="42" t="str">
        <f t="shared" si="51"/>
        <v/>
      </c>
      <c r="CH43" s="42">
        <f>IF(S43&gt;0,((4-BN43)/(SLOPE($AS43:AT43, $BC43:BD43))),"")</f>
        <v>6.3553915001761352</v>
      </c>
      <c r="CI43" s="42">
        <f>IF(T43&gt;0,((4-BO43)/(SLOPE($AS43:AU43, $BC43:BE43))),"")</f>
        <v>6.022062320441754</v>
      </c>
      <c r="CJ43" s="42">
        <f>IF(U43&gt;0,((4-BP43)/(SLOPE($AS43:AV43, $BC43:BF43))),"")</f>
        <v>6.8523480876935103</v>
      </c>
      <c r="CK43" s="42">
        <f>IF(V43&gt;0,((4-BQ43)/(SLOPE($AS43:AW43, $BC43:BG43))),"")</f>
        <v>7.0250185162227829</v>
      </c>
      <c r="CL43" s="42" t="str">
        <f>IF(W43&gt;0,((4-BR43)/(SLOPE($AS43:AX43, $BC43:BH43))),"")</f>
        <v/>
      </c>
      <c r="CM43" s="42" t="str">
        <f>IF(X43&gt;0,((4-BS43)/(SLOPE($AS43:AY43, $BC43:BI43))),"")</f>
        <v/>
      </c>
      <c r="CN43" s="42" t="str">
        <f>IF(Y43&gt;0,((4-BT43)/(SLOPE($AS43:AZ43, $BC43:BJ43))),"")</f>
        <v/>
      </c>
      <c r="CO43" s="42">
        <f>IF(Z43&gt;0,((4-BU43)/(SLOPE($AS43:BA43, $BC43:BK43))),"")</f>
        <v>7.0250185162227829</v>
      </c>
    </row>
    <row r="44" spans="1:93">
      <c r="A44" s="42">
        <v>1</v>
      </c>
      <c r="B44" s="123" t="s">
        <v>605</v>
      </c>
      <c r="C44" s="46" t="s">
        <v>606</v>
      </c>
      <c r="D44" s="46" t="s">
        <v>606</v>
      </c>
      <c r="E44" s="45" t="s">
        <v>35</v>
      </c>
      <c r="F44" s="52" t="s">
        <v>63</v>
      </c>
      <c r="G44" s="52"/>
      <c r="H44" s="52" t="s">
        <v>99</v>
      </c>
      <c r="I44" s="52" t="s">
        <v>99</v>
      </c>
      <c r="J44" s="46" t="s">
        <v>544</v>
      </c>
      <c r="K44" s="46"/>
      <c r="L44" s="46"/>
      <c r="M44" s="72" cm="1">
        <f t="array" ref="M44">LOOKUP(2,1/(ISNUMBER(BX44:CE44)),BX44:CE44)</f>
        <v>-4.9407789191250676E-2</v>
      </c>
      <c r="N44" s="72" cm="1">
        <f t="array" ref="N44">LOOKUP(2,1/(ISNUMBER(CH44:CO44)),CH44:CO44)</f>
        <v>37.686938151855415</v>
      </c>
      <c r="O44" s="58">
        <v>12933333333.333334</v>
      </c>
      <c r="P44" s="58">
        <v>1404753833.7136984</v>
      </c>
      <c r="Q44" s="59">
        <f t="shared" si="32"/>
        <v>1.27288266856071</v>
      </c>
      <c r="R44" s="60">
        <v>612000</v>
      </c>
      <c r="S44" s="60">
        <v>271000</v>
      </c>
      <c r="T44" s="60">
        <v>179000</v>
      </c>
      <c r="U44" s="47">
        <v>109000</v>
      </c>
      <c r="V44" s="47">
        <v>32000</v>
      </c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61">
        <v>44984</v>
      </c>
      <c r="AK44" s="61">
        <v>44993</v>
      </c>
      <c r="AL44" s="61">
        <v>45000</v>
      </c>
      <c r="AM44" s="49">
        <v>45009</v>
      </c>
      <c r="AN44" s="44">
        <v>45012</v>
      </c>
      <c r="AO44" s="117"/>
      <c r="AP44" s="117"/>
      <c r="AQ44" s="117"/>
      <c r="AR44" s="48"/>
      <c r="AS44" s="42">
        <f t="shared" si="27"/>
        <v>5.7867514221455609</v>
      </c>
      <c r="AT44" s="42">
        <f t="shared" si="28"/>
        <v>5.4329692908744054</v>
      </c>
      <c r="AU44" s="42">
        <f t="shared" si="29"/>
        <v>5.2528530309798933</v>
      </c>
      <c r="AV44" s="42">
        <f>IF(V44&gt;0,(LOG(V44)),"")</f>
        <v>4.5051499783199063</v>
      </c>
      <c r="AW44" s="42" t="str">
        <f>IF(Z44&gt;0,(LOG(Z44)),"")</f>
        <v/>
      </c>
      <c r="AX44" s="42" t="e">
        <f>IF(#REF!&gt;0,(LOG(#REF!)),"")</f>
        <v>#REF!</v>
      </c>
      <c r="AY44" s="42" t="str">
        <f t="shared" ref="AY44:AZ48" si="52">IF(X44&gt;0,(LOG(X44)),"")</f>
        <v/>
      </c>
      <c r="AZ44" s="42" t="str">
        <f t="shared" si="52"/>
        <v/>
      </c>
      <c r="BA44" s="42" t="e">
        <f>IF(#REF!&gt;0,(LOG(#REF!)),"")</f>
        <v>#REF!</v>
      </c>
      <c r="BC44" s="42">
        <f t="shared" si="42"/>
        <v>0</v>
      </c>
      <c r="BD44" s="42">
        <f t="shared" si="43"/>
        <v>9</v>
      </c>
      <c r="BE44" s="42">
        <f t="shared" si="43"/>
        <v>16</v>
      </c>
      <c r="BF44" s="42">
        <f t="shared" si="43"/>
        <v>25</v>
      </c>
      <c r="BG44" s="42">
        <f t="shared" si="43"/>
        <v>28</v>
      </c>
      <c r="BH44" s="42" t="str">
        <f t="shared" si="43"/>
        <v/>
      </c>
      <c r="BI44" s="42" t="str">
        <f t="shared" si="43"/>
        <v/>
      </c>
      <c r="BJ44" s="42" t="str">
        <f t="shared" si="43"/>
        <v/>
      </c>
      <c r="BK44" s="42" t="str">
        <f t="shared" si="43"/>
        <v/>
      </c>
      <c r="BN44" s="42">
        <f>INTERCEPT($AS44:AT44,$BC44:BD44)</f>
        <v>5.7867514221455618</v>
      </c>
      <c r="BO44" s="42">
        <f>INTERCEPT($AS44:AU44,$BC44:BE44)</f>
        <v>5.7712384686250111</v>
      </c>
      <c r="BP44" s="42">
        <f>INTERCEPT($AS44:AV44,$BC44:BF44)</f>
        <v>5.8620282954705747</v>
      </c>
      <c r="BQ44" s="42">
        <f>INTERCEPT($AS44:AW44,$BC44:BG44)</f>
        <v>5.8620282954705747</v>
      </c>
      <c r="BR44" s="42" t="e">
        <f>INTERCEPT($AS44:AX44,$BC44:BH44)</f>
        <v>#REF!</v>
      </c>
      <c r="BS44" s="42" t="e">
        <f>INTERCEPT($AS44:AY44,$BC44:BI44)</f>
        <v>#REF!</v>
      </c>
      <c r="BT44" s="42" t="e">
        <f>INTERCEPT($AS44:AZ44,$BC44:BJ44)</f>
        <v>#REF!</v>
      </c>
      <c r="BU44" s="42" t="e">
        <f>INTERCEPT($AS44:BA44,$BC44:BK44)</f>
        <v>#REF!</v>
      </c>
      <c r="BX44" s="42">
        <f t="shared" si="44"/>
        <v>-3.9309125696795059E-2</v>
      </c>
      <c r="BY44" s="42">
        <f t="shared" si="45"/>
        <v>-3.36456664750069E-2</v>
      </c>
      <c r="BZ44" s="42">
        <f t="shared" si="46"/>
        <v>-4.9407789191250676E-2</v>
      </c>
      <c r="CA44" s="42">
        <f t="shared" si="47"/>
        <v>-4.9407789191250676E-2</v>
      </c>
      <c r="CB44" s="42" t="str">
        <f t="shared" si="48"/>
        <v/>
      </c>
      <c r="CC44" s="42" t="str">
        <f t="shared" si="49"/>
        <v/>
      </c>
      <c r="CD44" s="42" t="str">
        <f t="shared" si="50"/>
        <v/>
      </c>
      <c r="CE44" s="42" t="str">
        <f t="shared" si="51"/>
        <v/>
      </c>
      <c r="CH44" s="42">
        <f>IF(S44&gt;0,((4-BN44)/(SLOPE($AS44:AT44, $BC44:BD44))),"")</f>
        <v>45.453858117511849</v>
      </c>
      <c r="CI44" s="42">
        <f>IF(T44&gt;0,((4-BO44)/(SLOPE($AS44:AU44, $BC44:BE44))),"")</f>
        <v>52.643881194647903</v>
      </c>
      <c r="CJ44" s="42">
        <f>IF(U44&gt;0,((4-BP44)/(SLOPE($AS44:AV44, $BC44:BF44))),"")</f>
        <v>37.686938151855415</v>
      </c>
      <c r="CK44" s="42">
        <f>IF(V44&gt;0,((4-BQ44)/(SLOPE($AS44:AW44, $BC44:BG44))),"")</f>
        <v>37.686938151855415</v>
      </c>
      <c r="CL44" s="42" t="str">
        <f>IF(W44&gt;0,((4-BR44)/(SLOPE($AS44:AX44, $BC44:BH44))),"")</f>
        <v/>
      </c>
      <c r="CM44" s="42" t="str">
        <f>IF(X44&gt;0,((4-BS44)/(SLOPE($AS44:AY44, $BC44:BI44))),"")</f>
        <v/>
      </c>
      <c r="CN44" s="42" t="str">
        <f>IF(Y44&gt;0,((4-BT44)/(SLOPE($AS44:AZ44, $BC44:BJ44))),"")</f>
        <v/>
      </c>
      <c r="CO44" s="42" t="str">
        <f>IF(Z44&gt;0,((4-BU44)/(SLOPE($AS44:BA44, $BC44:BK44))),"")</f>
        <v/>
      </c>
    </row>
    <row r="45" spans="1:93">
      <c r="A45" s="42">
        <v>2</v>
      </c>
      <c r="B45" s="123" t="s">
        <v>605</v>
      </c>
      <c r="C45" s="46" t="s">
        <v>607</v>
      </c>
      <c r="D45" s="46" t="s">
        <v>607</v>
      </c>
      <c r="E45" s="45" t="s">
        <v>35</v>
      </c>
      <c r="F45" s="52" t="s">
        <v>63</v>
      </c>
      <c r="G45" s="52"/>
      <c r="H45" s="52" t="s">
        <v>99</v>
      </c>
      <c r="I45" s="52" t="s">
        <v>99</v>
      </c>
      <c r="J45" s="46" t="s">
        <v>544</v>
      </c>
      <c r="K45" s="46"/>
      <c r="L45" s="46"/>
      <c r="M45" s="72" cm="1">
        <f t="array" ref="M45">LOOKUP(2,1/(ISNUMBER(BX45:CE45)),BX45:CE45)</f>
        <v>-3.5908028949841311E-2</v>
      </c>
      <c r="N45" s="72" cm="1">
        <f t="array" ref="N45">LOOKUP(2,1/(ISNUMBER(CH45:CO45)),CH45:CO45)</f>
        <v>46.613172913605048</v>
      </c>
      <c r="O45" s="58">
        <v>10933333333.333334</v>
      </c>
      <c r="P45" s="58">
        <v>1285820101.4657273</v>
      </c>
      <c r="Q45" s="59">
        <f t="shared" si="32"/>
        <v>1.3582872787734317</v>
      </c>
      <c r="R45" s="60">
        <v>425000</v>
      </c>
      <c r="S45" s="60">
        <v>215000</v>
      </c>
      <c r="T45" s="60">
        <v>181000</v>
      </c>
      <c r="U45" s="47">
        <v>93500</v>
      </c>
      <c r="V45" s="47">
        <v>48000</v>
      </c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61">
        <v>44984</v>
      </c>
      <c r="AK45" s="61">
        <v>44993</v>
      </c>
      <c r="AL45" s="61">
        <v>45000</v>
      </c>
      <c r="AM45" s="49">
        <v>45009</v>
      </c>
      <c r="AN45" s="44">
        <v>45012</v>
      </c>
      <c r="AO45" s="117"/>
      <c r="AP45" s="117"/>
      <c r="AQ45" s="117"/>
      <c r="AR45" s="48"/>
      <c r="AS45" s="42">
        <f t="shared" si="27"/>
        <v>5.6283889300503116</v>
      </c>
      <c r="AT45" s="42">
        <f t="shared" si="28"/>
        <v>5.3324384599156049</v>
      </c>
      <c r="AU45" s="42">
        <f t="shared" si="29"/>
        <v>5.2576785748691846</v>
      </c>
      <c r="AV45" s="42">
        <f>IF(V45&gt;0,(LOG(V45)),"")</f>
        <v>4.6812412373755876</v>
      </c>
      <c r="AW45" s="42" t="str">
        <f>IF(Z45&gt;0,(LOG(Z45)),"")</f>
        <v/>
      </c>
      <c r="AX45" s="42" t="e">
        <f>IF(#REF!&gt;0,(LOG(#REF!)),"")</f>
        <v>#REF!</v>
      </c>
      <c r="AY45" s="42" t="str">
        <f t="shared" si="52"/>
        <v/>
      </c>
      <c r="AZ45" s="42" t="str">
        <f t="shared" si="52"/>
        <v/>
      </c>
      <c r="BA45" s="42" t="e">
        <f>IF(#REF!&gt;0,(LOG(#REF!)),"")</f>
        <v>#REF!</v>
      </c>
      <c r="BC45" s="42">
        <f t="shared" si="34"/>
        <v>0</v>
      </c>
      <c r="BD45" s="42">
        <f t="shared" si="41"/>
        <v>9</v>
      </c>
      <c r="BE45" s="42">
        <f t="shared" si="35"/>
        <v>16</v>
      </c>
      <c r="BF45" s="42">
        <f>IF(AM45&gt;1,(AM45-$AJ45),"")</f>
        <v>25</v>
      </c>
      <c r="BG45" s="42">
        <f>IF(AM45&gt;1,(AM45-$AJ45),"")</f>
        <v>25</v>
      </c>
      <c r="BH45" s="42" t="str">
        <f t="shared" si="10"/>
        <v/>
      </c>
      <c r="BI45" s="42" t="str">
        <f t="shared" si="38"/>
        <v/>
      </c>
      <c r="BJ45" s="42" t="str">
        <f t="shared" si="39"/>
        <v/>
      </c>
      <c r="BK45" s="42" t="str">
        <f t="shared" si="40"/>
        <v/>
      </c>
      <c r="BN45" s="42">
        <f>INTERCEPT($AS45:AT45,$BC45:BD45)</f>
        <v>5.6283889300503116</v>
      </c>
      <c r="BO45" s="42">
        <f>INTERCEPT($AS45:AU45,$BC45:BE45)</f>
        <v>5.6030218308827573</v>
      </c>
      <c r="BP45" s="42">
        <f>INTERCEPT($AS45:AV45,$BC45:BF45)</f>
        <v>5.6737871624256888</v>
      </c>
      <c r="BQ45" s="42">
        <f>INTERCEPT($AS45:AW45,$BC45:BG45)</f>
        <v>5.6737871624256888</v>
      </c>
      <c r="BR45" s="42" t="e">
        <f>INTERCEPT($AS45:AX45,$BC45:BH45)</f>
        <v>#REF!</v>
      </c>
      <c r="BS45" s="42" t="e">
        <f>INTERCEPT($AS45:AY45,$BC45:BI45)</f>
        <v>#REF!</v>
      </c>
      <c r="BT45" s="42" t="e">
        <f>INTERCEPT($AS45:AZ45,$BC45:BJ45)</f>
        <v>#REF!</v>
      </c>
      <c r="BU45" s="42" t="e">
        <f>INTERCEPT($AS45:BA45,$BC45:BK45)</f>
        <v>#REF!</v>
      </c>
      <c r="BX45" s="42">
        <f t="shared" si="19"/>
        <v>-3.2883385570522963E-2</v>
      </c>
      <c r="BY45" s="42">
        <f t="shared" si="20"/>
        <v>-2.362238111252677E-2</v>
      </c>
      <c r="BZ45" s="42">
        <f t="shared" si="24"/>
        <v>-3.5908028949841311E-2</v>
      </c>
      <c r="CA45" s="42">
        <f t="shared" si="25"/>
        <v>-3.5908028949841311E-2</v>
      </c>
      <c r="CB45" s="42" t="str">
        <f t="shared" si="26"/>
        <v/>
      </c>
      <c r="CC45" s="42" t="str">
        <f t="shared" si="21"/>
        <v/>
      </c>
      <c r="CD45" s="42" t="str">
        <f t="shared" si="22"/>
        <v/>
      </c>
      <c r="CE45" s="42" t="str">
        <f t="shared" si="23"/>
        <v/>
      </c>
      <c r="CH45" s="42">
        <f>IF(S45&gt;0,((4-BN45)/(SLOPE($AS45:AT45, $BC45:BD45))),"")</f>
        <v>49.520111807161904</v>
      </c>
      <c r="CI45" s="42">
        <f>IF(T45&gt;0,((4-BO45)/(SLOPE($AS45:AU45, $BC45:BE45))),"")</f>
        <v>67.860298385952589</v>
      </c>
      <c r="CJ45" s="42">
        <f>IF(U45&gt;0,((4-BP45)/(SLOPE($AS45:AV45, $BC45:BF45))),"")</f>
        <v>46.613172913605048</v>
      </c>
      <c r="CK45" s="42">
        <f>IF(V45&gt;0,((4-BQ45)/(SLOPE($AS45:AW45, $BC45:BG45))),"")</f>
        <v>46.613172913605048</v>
      </c>
      <c r="CL45" s="42" t="str">
        <f>IF(W45&gt;0,((4-BR45)/(SLOPE($AS45:AX45, $BC45:BH45))),"")</f>
        <v/>
      </c>
      <c r="CM45" s="42" t="str">
        <f>IF(X45&gt;0,((4-BS45)/(SLOPE($AS45:AY45, $BC45:BI45))),"")</f>
        <v/>
      </c>
      <c r="CN45" s="42" t="str">
        <f>IF(Y45&gt;0,((4-BT45)/(SLOPE($AS45:AZ45, $BC45:BJ45))),"")</f>
        <v/>
      </c>
      <c r="CO45" s="42" t="str">
        <f>IF(Z45&gt;0,((4-BU45)/(SLOPE($AS45:BA45, $BC45:BK45))),"")</f>
        <v/>
      </c>
    </row>
    <row r="46" spans="1:93">
      <c r="A46" s="42">
        <v>22</v>
      </c>
      <c r="B46" s="123" t="s">
        <v>605</v>
      </c>
      <c r="C46" s="46" t="s">
        <v>101</v>
      </c>
      <c r="D46" s="46" t="s">
        <v>506</v>
      </c>
      <c r="E46" s="45" t="s">
        <v>35</v>
      </c>
      <c r="F46" s="52" t="s">
        <v>63</v>
      </c>
      <c r="G46" s="52"/>
      <c r="H46" s="52" t="s">
        <v>105</v>
      </c>
      <c r="I46" s="52" t="s">
        <v>105</v>
      </c>
      <c r="J46" s="46" t="s">
        <v>544</v>
      </c>
      <c r="K46" s="46"/>
      <c r="L46" s="46"/>
      <c r="M46" s="72" cm="1">
        <f t="array" ref="M46">LOOKUP(2,1/(ISNUMBER(BX46:CE46)),BX46:CE46)</f>
        <v>-4.016479886375357E-2</v>
      </c>
      <c r="N46" s="72" cm="1">
        <f t="array" ref="N46">LOOKUP(2,1/(ISNUMBER(CH46:CO46)),CH46:CO46)</f>
        <v>54.42951864754135</v>
      </c>
      <c r="O46" s="58">
        <v>15866666666.666666</v>
      </c>
      <c r="P46" s="58">
        <v>3330665599.1458092</v>
      </c>
      <c r="Q46" s="59">
        <f t="shared" si="32"/>
        <v>0.98704131559758146</v>
      </c>
      <c r="R46" s="60">
        <v>1450000</v>
      </c>
      <c r="S46" s="60">
        <v>717000</v>
      </c>
      <c r="T46" s="60">
        <v>361000</v>
      </c>
      <c r="U46" s="47">
        <v>184000</v>
      </c>
      <c r="V46" s="47">
        <v>120000</v>
      </c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61">
        <v>44984</v>
      </c>
      <c r="AK46" s="61">
        <v>44993</v>
      </c>
      <c r="AL46" s="61">
        <v>45000</v>
      </c>
      <c r="AM46" s="49">
        <v>45009</v>
      </c>
      <c r="AN46" s="44">
        <v>45012</v>
      </c>
      <c r="AO46" s="48"/>
      <c r="AP46" s="48"/>
      <c r="AQ46" s="48"/>
      <c r="AR46" s="48"/>
      <c r="AS46" s="42">
        <f t="shared" si="27"/>
        <v>6.1613680022349753</v>
      </c>
      <c r="AT46" s="42">
        <f t="shared" si="28"/>
        <v>5.8555191556677997</v>
      </c>
      <c r="AU46" s="42">
        <f t="shared" si="29"/>
        <v>5.5575072019056577</v>
      </c>
      <c r="AV46" s="42">
        <f t="shared" ref="AV46:AX48" si="53">IF(U46&gt;0,(LOG(U46)),"")</f>
        <v>5.2648178230095368</v>
      </c>
      <c r="AW46" s="42">
        <f t="shared" si="53"/>
        <v>5.0791812460476251</v>
      </c>
      <c r="AX46" s="42" t="str">
        <f t="shared" si="53"/>
        <v/>
      </c>
      <c r="AY46" s="42" t="str">
        <f t="shared" si="52"/>
        <v/>
      </c>
      <c r="AZ46" s="42" t="str">
        <f t="shared" si="52"/>
        <v/>
      </c>
      <c r="BA46" s="42" t="str">
        <f>IF(Z46&gt;0,(LOG(Z46)),"")</f>
        <v/>
      </c>
      <c r="BC46" s="42">
        <f t="shared" si="34"/>
        <v>0</v>
      </c>
      <c r="BD46" s="42">
        <f t="shared" si="41"/>
        <v>9</v>
      </c>
      <c r="BE46" s="42">
        <f t="shared" si="35"/>
        <v>16</v>
      </c>
      <c r="BF46" s="42">
        <f>IF(AM46&gt;1,(AM46-$AJ46),"")</f>
        <v>25</v>
      </c>
      <c r="BG46" s="42">
        <f>IF(AM46&gt;1,(AM46-$AJ46),"")</f>
        <v>25</v>
      </c>
      <c r="BH46" s="42" t="str">
        <f t="shared" si="10"/>
        <v/>
      </c>
      <c r="BI46" s="42" t="str">
        <f t="shared" si="38"/>
        <v/>
      </c>
      <c r="BJ46" s="42" t="str">
        <f t="shared" si="39"/>
        <v/>
      </c>
      <c r="BK46" s="42" t="str">
        <f t="shared" si="40"/>
        <v/>
      </c>
      <c r="BN46" s="42">
        <f>INTERCEPT($AS46:AT46,$BC46:BD46)</f>
        <v>6.1613680022349762</v>
      </c>
      <c r="BO46" s="42">
        <f>INTERCEPT($AS46:AU46,$BC46:BE46)</f>
        <v>6.171181887222601</v>
      </c>
      <c r="BP46" s="42">
        <f>INTERCEPT($AS46:AV46,$BC46:BF46)</f>
        <v>6.1641768987640431</v>
      </c>
      <c r="BQ46" s="42">
        <f>INTERCEPT($AS46:AW46,$BC46:BG46)</f>
        <v>6.1861506687294225</v>
      </c>
      <c r="BR46" s="42">
        <f>INTERCEPT($AS46:AX46,$BC46:BH46)</f>
        <v>6.1861506687294225</v>
      </c>
      <c r="BS46" s="42">
        <f>INTERCEPT($AS46:AY46,$BC46:BI46)</f>
        <v>6.1861506687294225</v>
      </c>
      <c r="BT46" s="42">
        <f>INTERCEPT($AS46:AZ46,$BC46:BJ46)</f>
        <v>6.1861506687294225</v>
      </c>
      <c r="BU46" s="42">
        <f>INTERCEPT($AS46:BA46,$BC46:BK46)</f>
        <v>6.1861506687294225</v>
      </c>
      <c r="BX46" s="42">
        <f t="shared" si="19"/>
        <v>-3.3983205174130622E-2</v>
      </c>
      <c r="BY46" s="42">
        <f t="shared" si="20"/>
        <v>-3.7566052074374745E-2</v>
      </c>
      <c r="BZ46" s="42">
        <f t="shared" si="24"/>
        <v>-3.6349908244764029E-2</v>
      </c>
      <c r="CA46" s="42">
        <f t="shared" si="25"/>
        <v>-4.016479886375357E-2</v>
      </c>
      <c r="CB46" s="42" t="str">
        <f t="shared" si="26"/>
        <v/>
      </c>
      <c r="CC46" s="42" t="str">
        <f t="shared" si="21"/>
        <v/>
      </c>
      <c r="CD46" s="42" t="str">
        <f t="shared" si="22"/>
        <v/>
      </c>
      <c r="CE46" s="42" t="str">
        <f t="shared" si="23"/>
        <v/>
      </c>
      <c r="CH46" s="42">
        <f>IF(S46&gt;0,((4-BN46)/(SLOPE($AS46:AT46, $BC46:BD46))),"")</f>
        <v>63.601063853750212</v>
      </c>
      <c r="CI46" s="42">
        <f>IF(T46&gt;0,((4-BO46)/(SLOPE($AS46:AU46, $BC46:BE46))),"")</f>
        <v>57.796381768411806</v>
      </c>
      <c r="CJ46" s="42">
        <f>IF(U46&gt;0,((4-BP46)/(SLOPE($AS46:AV46, $BC46:BF46))),"")</f>
        <v>59.537341447781479</v>
      </c>
      <c r="CK46" s="42">
        <f>IF(V46&gt;0,((4-BQ46)/(SLOPE($AS46:AW46, $BC46:BG46))),"")</f>
        <v>54.42951864754135</v>
      </c>
      <c r="CL46" s="42" t="str">
        <f>IF(W46&gt;0,((4-BR46)/(SLOPE($AS46:AX46, $BC46:BH46))),"")</f>
        <v/>
      </c>
      <c r="CM46" s="42" t="str">
        <f>IF(X46&gt;0,((4-BS46)/(SLOPE($AS46:AY46, $BC46:BI46))),"")</f>
        <v/>
      </c>
      <c r="CN46" s="42" t="str">
        <f>IF(Y46&gt;0,((4-BT46)/(SLOPE($AS46:AZ46, $BC46:BJ46))),"")</f>
        <v/>
      </c>
      <c r="CO46" s="42" t="str">
        <f>IF(Z46&gt;0,((4-BU46)/(SLOPE($AS46:BA46, $BC46:BK46))),"")</f>
        <v/>
      </c>
    </row>
    <row r="47" spans="1:93" ht="32">
      <c r="A47" s="42">
        <v>27</v>
      </c>
      <c r="B47" s="123" t="s">
        <v>605</v>
      </c>
      <c r="C47" s="46" t="s">
        <v>107</v>
      </c>
      <c r="D47" s="46" t="s">
        <v>505</v>
      </c>
      <c r="E47" s="45" t="s">
        <v>61</v>
      </c>
      <c r="F47" s="52" t="s">
        <v>63</v>
      </c>
      <c r="G47" s="52"/>
      <c r="H47" s="54" t="s">
        <v>110</v>
      </c>
      <c r="I47" s="54" t="s">
        <v>457</v>
      </c>
      <c r="J47" s="46" t="s">
        <v>544</v>
      </c>
      <c r="K47" s="46"/>
      <c r="L47" s="46"/>
      <c r="M47" s="72" cm="1">
        <f t="array" ref="M47">LOOKUP(2,1/(ISNUMBER(BX47:CE47)),BX47:CE47)</f>
        <v>-2.9133019330279591E-2</v>
      </c>
      <c r="N47" s="72" cm="1">
        <f t="array" ref="N47">LOOKUP(2,1/(ISNUMBER(CH47:CO47)),CH47:CO47)</f>
        <v>33.696980084110301</v>
      </c>
      <c r="O47" s="58">
        <v>2360000000</v>
      </c>
      <c r="P47" s="58">
        <v>523067873.22488081</v>
      </c>
      <c r="Q47" s="59">
        <f t="shared" si="32"/>
        <v>1.1905018543068264</v>
      </c>
      <c r="R47" s="60">
        <v>135000</v>
      </c>
      <c r="S47" s="60">
        <v>33600</v>
      </c>
      <c r="T47" s="60">
        <v>28700</v>
      </c>
      <c r="U47" s="47">
        <v>20900</v>
      </c>
      <c r="V47" s="47">
        <v>15900</v>
      </c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61">
        <v>44984</v>
      </c>
      <c r="AK47" s="61">
        <v>44993</v>
      </c>
      <c r="AL47" s="61">
        <v>45000</v>
      </c>
      <c r="AM47" s="49">
        <v>45009</v>
      </c>
      <c r="AN47" s="44">
        <v>45012</v>
      </c>
      <c r="AO47" s="48"/>
      <c r="AP47" s="48"/>
      <c r="AQ47" s="48"/>
      <c r="AR47" s="48"/>
      <c r="AS47" s="42">
        <f t="shared" si="27"/>
        <v>5.1303337684950066</v>
      </c>
      <c r="AT47" s="42">
        <f t="shared" si="28"/>
        <v>4.5263392773898437</v>
      </c>
      <c r="AU47" s="42">
        <f t="shared" si="29"/>
        <v>4.4578818967339924</v>
      </c>
      <c r="AV47" s="42">
        <f t="shared" si="53"/>
        <v>4.3201462861110542</v>
      </c>
      <c r="AW47" s="42">
        <f t="shared" si="53"/>
        <v>4.2013971243204518</v>
      </c>
      <c r="AX47" s="42" t="str">
        <f t="shared" si="53"/>
        <v/>
      </c>
      <c r="AY47" s="42" t="str">
        <f t="shared" si="52"/>
        <v/>
      </c>
      <c r="AZ47" s="42" t="str">
        <f t="shared" si="52"/>
        <v/>
      </c>
      <c r="BA47" s="42" t="str">
        <f>IF(Z47&gt;0,(LOG(Z47)),"")</f>
        <v/>
      </c>
      <c r="BC47" s="42">
        <f t="shared" si="34"/>
        <v>0</v>
      </c>
      <c r="BD47" s="42">
        <f t="shared" si="41"/>
        <v>9</v>
      </c>
      <c r="BE47" s="42">
        <f t="shared" si="35"/>
        <v>16</v>
      </c>
      <c r="BF47" s="42">
        <f t="shared" si="36"/>
        <v>25</v>
      </c>
      <c r="BG47" s="42">
        <f t="shared" si="37"/>
        <v>28</v>
      </c>
      <c r="BH47" s="42" t="str">
        <f t="shared" si="10"/>
        <v/>
      </c>
      <c r="BI47" s="42" t="str">
        <f t="shared" si="38"/>
        <v/>
      </c>
      <c r="BJ47" s="42" t="str">
        <f t="shared" si="39"/>
        <v/>
      </c>
      <c r="BK47" s="42" t="str">
        <f t="shared" si="40"/>
        <v/>
      </c>
      <c r="BN47" s="42">
        <f>INTERCEPT($AS47:AT47,$BC47:BD47)</f>
        <v>5.1303337684950066</v>
      </c>
      <c r="BO47" s="42">
        <f>INTERCEPT($AS47:AU47,$BC47:BE47)</f>
        <v>5.0648339884876643</v>
      </c>
      <c r="BP47" s="42">
        <f>INTERCEPT($AS47:AV47,$BC47:BF47)</f>
        <v>4.9932058844115135</v>
      </c>
      <c r="BQ47" s="42">
        <f>INTERCEPT($AS47:AW47,$BC47:BG47)</f>
        <v>4.9816947721624318</v>
      </c>
      <c r="BR47" s="42">
        <f>INTERCEPT($AS47:AX47,$BC47:BH47)</f>
        <v>4.9816947721624318</v>
      </c>
      <c r="BS47" s="42">
        <f>INTERCEPT($AS47:AY47,$BC47:BI47)</f>
        <v>4.9816947721624318</v>
      </c>
      <c r="BT47" s="42">
        <f>INTERCEPT($AS47:AZ47,$BC47:BJ47)</f>
        <v>4.9816947721624318</v>
      </c>
      <c r="BU47" s="42">
        <f>INTERCEPT($AS47:BA47,$BC47:BK47)</f>
        <v>4.9816947721624318</v>
      </c>
      <c r="BX47" s="42">
        <f t="shared" si="19"/>
        <v>-6.7110499011684768E-2</v>
      </c>
      <c r="BY47" s="42">
        <f t="shared" si="20"/>
        <v>-4.3197880913765932E-2</v>
      </c>
      <c r="BZ47" s="42">
        <f t="shared" si="24"/>
        <v>-3.0762446178323098E-2</v>
      </c>
      <c r="CA47" s="42">
        <f t="shared" si="25"/>
        <v>-2.9133019330279591E-2</v>
      </c>
      <c r="CB47" s="42" t="str">
        <f t="shared" si="26"/>
        <v/>
      </c>
      <c r="CC47" s="42" t="str">
        <f t="shared" si="21"/>
        <v/>
      </c>
      <c r="CD47" s="42" t="str">
        <f t="shared" si="22"/>
        <v/>
      </c>
      <c r="CE47" s="42" t="str">
        <f t="shared" si="23"/>
        <v/>
      </c>
      <c r="CH47" s="42">
        <f>IF(S47&gt;0,((4-BN47)/(SLOPE($AS47:AT47, $BC47:BD47))),"")</f>
        <v>16.84287533457621</v>
      </c>
      <c r="CI47" s="42">
        <f>IF(T47&gt;0,((4-BO47)/(SLOPE($AS47:AU47, $BC47:BE47))),"")</f>
        <v>24.650144080292886</v>
      </c>
      <c r="CJ47" s="42">
        <f>IF(U47&gt;0,((4-BP47)/(SLOPE($AS47:AV47, $BC47:BF47))),"")</f>
        <v>32.286310349122388</v>
      </c>
      <c r="CK47" s="42">
        <f>IF(V47&gt;0,((4-BQ47)/(SLOPE($AS47:AW47, $BC47:BG47))),"")</f>
        <v>33.696980084110301</v>
      </c>
      <c r="CL47" s="42" t="str">
        <f>IF(W47&gt;0,((4-BR47)/(SLOPE($AS47:AX47, $BC47:BH47))),"")</f>
        <v/>
      </c>
      <c r="CM47" s="42" t="str">
        <f>IF(X47&gt;0,((4-BS47)/(SLOPE($AS47:AY47, $BC47:BI47))),"")</f>
        <v/>
      </c>
      <c r="CN47" s="42" t="str">
        <f>IF(Y47&gt;0,((4-BT47)/(SLOPE($AS47:AZ47, $BC47:BJ47))),"")</f>
        <v/>
      </c>
      <c r="CO47" s="42" t="str">
        <f>IF(Z47&gt;0,((4-BU47)/(SLOPE($AS47:BA47, $BC47:BK47))),"")</f>
        <v/>
      </c>
    </row>
    <row r="48" spans="1:93">
      <c r="A48" s="42">
        <v>36</v>
      </c>
      <c r="B48" s="123" t="s">
        <v>605</v>
      </c>
      <c r="C48" s="46" t="s">
        <v>126</v>
      </c>
      <c r="D48" s="46" t="s">
        <v>507</v>
      </c>
      <c r="E48" s="45" t="s">
        <v>35</v>
      </c>
      <c r="F48" s="52" t="s">
        <v>39</v>
      </c>
      <c r="G48" s="52"/>
      <c r="H48" s="52" t="s">
        <v>105</v>
      </c>
      <c r="I48" s="52" t="s">
        <v>105</v>
      </c>
      <c r="J48" s="46" t="s">
        <v>544</v>
      </c>
      <c r="K48" s="46"/>
      <c r="L48" s="46"/>
      <c r="M48" s="72" cm="1">
        <f t="array" ref="M48">LOOKUP(2,1/(ISNUMBER(BX48:CE48)),BX48:CE48)</f>
        <v>-4.0479995494107537E-2</v>
      </c>
      <c r="N48" s="72" cm="1">
        <f t="array" ref="N48">LOOKUP(2,1/(ISNUMBER(CH48:CO48)),CH48:CO48)</f>
        <v>48.715534503771217</v>
      </c>
      <c r="O48" s="58">
        <v>6266666666.666667</v>
      </c>
      <c r="P48" s="58">
        <v>804321660.36563754</v>
      </c>
      <c r="Q48" s="59">
        <f t="shared" si="32"/>
        <v>0.68050222514882552</v>
      </c>
      <c r="R48" s="60">
        <v>1160000</v>
      </c>
      <c r="S48" s="60">
        <v>296000</v>
      </c>
      <c r="T48" s="60">
        <v>229000</v>
      </c>
      <c r="U48" s="47">
        <v>65900</v>
      </c>
      <c r="V48" s="47">
        <v>97300</v>
      </c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61">
        <v>44984</v>
      </c>
      <c r="AK48" s="61">
        <v>44993</v>
      </c>
      <c r="AL48" s="61">
        <v>45000</v>
      </c>
      <c r="AM48" s="49">
        <v>45009</v>
      </c>
      <c r="AN48" s="44">
        <v>45012</v>
      </c>
      <c r="AO48" s="48"/>
      <c r="AP48" s="48"/>
      <c r="AQ48" s="48"/>
      <c r="AR48" s="48"/>
      <c r="AS48" s="42">
        <f t="shared" si="27"/>
        <v>6.0644579892269181</v>
      </c>
      <c r="AT48" s="42">
        <f t="shared" si="28"/>
        <v>5.4712917110589387</v>
      </c>
      <c r="AU48" s="42">
        <f t="shared" si="29"/>
        <v>5.3598354823398884</v>
      </c>
      <c r="AV48" s="42">
        <f t="shared" si="53"/>
        <v>4.8188854145940097</v>
      </c>
      <c r="AW48" s="42">
        <f t="shared" si="53"/>
        <v>4.9881128402683519</v>
      </c>
      <c r="AX48" s="42" t="str">
        <f t="shared" si="53"/>
        <v/>
      </c>
      <c r="AY48" s="42" t="str">
        <f t="shared" si="52"/>
        <v/>
      </c>
      <c r="AZ48" s="42" t="str">
        <f t="shared" si="52"/>
        <v/>
      </c>
      <c r="BA48" s="42" t="str">
        <f>IF(Z48&gt;0,(LOG(Z48)),"")</f>
        <v/>
      </c>
      <c r="BC48" s="42">
        <f t="shared" si="34"/>
        <v>0</v>
      </c>
      <c r="BD48" s="42">
        <f t="shared" si="41"/>
        <v>9</v>
      </c>
      <c r="BE48" s="42">
        <f t="shared" si="35"/>
        <v>16</v>
      </c>
      <c r="BF48" s="42">
        <f t="shared" si="36"/>
        <v>25</v>
      </c>
      <c r="BG48" s="42">
        <f t="shared" si="37"/>
        <v>28</v>
      </c>
      <c r="BH48" s="42" t="str">
        <f t="shared" si="10"/>
        <v/>
      </c>
      <c r="BI48" s="42" t="str">
        <f t="shared" si="38"/>
        <v/>
      </c>
      <c r="BJ48" s="42" t="str">
        <f t="shared" si="39"/>
        <v/>
      </c>
      <c r="BK48" s="42" t="str">
        <f t="shared" si="40"/>
        <v/>
      </c>
      <c r="BN48" s="42">
        <f>INTERCEPT($AS48:AT48,$BC48:BD48)</f>
        <v>6.0644579892269181</v>
      </c>
      <c r="BO48" s="42">
        <f>INTERCEPT($AS48:AU48,$BC48:BE48)</f>
        <v>6.0073507218151798</v>
      </c>
      <c r="BP48" s="42">
        <f>INTERCEPT($AS48:AV48,$BC48:BF48)</f>
        <v>6.0205966546249696</v>
      </c>
      <c r="BQ48" s="42">
        <f>INTERCEPT($AS48:AW48,$BC48:BG48)</f>
        <v>5.9720046172056991</v>
      </c>
      <c r="BR48" s="42">
        <f>INTERCEPT($AS48:AX48,$BC48:BH48)</f>
        <v>5.9720046172056991</v>
      </c>
      <c r="BS48" s="42">
        <f>INTERCEPT($AS48:AY48,$BC48:BI48)</f>
        <v>5.9720046172056991</v>
      </c>
      <c r="BT48" s="42">
        <f>INTERCEPT($AS48:AZ48,$BC48:BJ48)</f>
        <v>5.9720046172056991</v>
      </c>
      <c r="BU48" s="42">
        <f>INTERCEPT($AS48:BA48,$BC48:BK48)</f>
        <v>5.9720046172056991</v>
      </c>
      <c r="BX48" s="42">
        <f t="shared" si="19"/>
        <v>-6.5907364240886598E-2</v>
      </c>
      <c r="BY48" s="42">
        <f t="shared" si="20"/>
        <v>-4.5058679312791818E-2</v>
      </c>
      <c r="BZ48" s="42">
        <f t="shared" si="24"/>
        <v>-4.7358320425602472E-2</v>
      </c>
      <c r="CA48" s="42">
        <f t="shared" si="25"/>
        <v>-4.0479995494107537E-2</v>
      </c>
      <c r="CB48" s="42" t="str">
        <f t="shared" si="26"/>
        <v/>
      </c>
      <c r="CC48" s="42" t="str">
        <f t="shared" si="21"/>
        <v/>
      </c>
      <c r="CD48" s="42" t="str">
        <f t="shared" si="22"/>
        <v/>
      </c>
      <c r="CE48" s="42" t="str">
        <f t="shared" si="23"/>
        <v/>
      </c>
      <c r="CH48" s="42">
        <f>IF(S48&gt;0,((4-BN48)/(SLOPE($AS48:AT48, $BC48:BD48))),"")</f>
        <v>31.323631478896274</v>
      </c>
      <c r="CI48" s="42">
        <f>IF(T48&gt;0,((4-BO48)/(SLOPE($AS48:AU48, $BC48:BE48))),"")</f>
        <v>44.549701687446223</v>
      </c>
      <c r="CJ48" s="42">
        <f>IF(U48&gt;0,((4-BP48)/(SLOPE($AS48:AV48, $BC48:BF48))),"")</f>
        <v>42.66613842015839</v>
      </c>
      <c r="CK48" s="42">
        <f>IF(V48&gt;0,((4-BQ48)/(SLOPE($AS48:AW48, $BC48:BG48))),"")</f>
        <v>48.715534503771217</v>
      </c>
      <c r="CL48" s="42" t="str">
        <f>IF(W48&gt;0,((4-BR48)/(SLOPE($AS48:AX48, $BC48:BH48))),"")</f>
        <v/>
      </c>
      <c r="CM48" s="42" t="str">
        <f>IF(X48&gt;0,((4-BS48)/(SLOPE($AS48:AY48, $BC48:BI48))),"")</f>
        <v/>
      </c>
      <c r="CN48" s="42" t="str">
        <f>IF(Y48&gt;0,((4-BT48)/(SLOPE($AS48:AZ48, $BC48:BJ48))),"")</f>
        <v/>
      </c>
      <c r="CO48" s="42" t="str">
        <f>IF(Z48&gt;0,((4-BU48)/(SLOPE($AS48:BA48, $BC48:BK48))),"")</f>
        <v/>
      </c>
    </row>
    <row r="49" spans="1:93">
      <c r="A49" s="42">
        <v>66</v>
      </c>
      <c r="B49" s="123" t="s">
        <v>605</v>
      </c>
      <c r="C49" s="46" t="s">
        <v>169</v>
      </c>
      <c r="D49" s="46" t="s">
        <v>508</v>
      </c>
      <c r="E49" s="45" t="s">
        <v>61</v>
      </c>
      <c r="F49" s="52" t="s">
        <v>39</v>
      </c>
      <c r="G49" s="52"/>
      <c r="H49" s="52" t="s">
        <v>145</v>
      </c>
      <c r="I49" s="52" t="s">
        <v>463</v>
      </c>
      <c r="J49" s="46" t="s">
        <v>544</v>
      </c>
      <c r="K49" s="46"/>
      <c r="L49" s="46"/>
      <c r="M49" s="72" cm="1">
        <f t="array" ref="M49">LOOKUP(2,1/(ISNUMBER(BX49:CE49)),BX49:CE49)</f>
        <v>-2.4909426377176025E-2</v>
      </c>
      <c r="N49" s="72" cm="1">
        <f t="array" ref="N49">LOOKUP(2,1/(ISNUMBER(CH49:CO49)),CH49:CO49)</f>
        <v>1.6038879573000067</v>
      </c>
      <c r="O49" s="58">
        <v>729333333.33333337</v>
      </c>
      <c r="P49" s="58">
        <v>102006535.73832108</v>
      </c>
      <c r="Q49" s="59">
        <f t="shared" si="32"/>
        <v>1.5855404010475942</v>
      </c>
      <c r="R49" s="60">
        <v>16800</v>
      </c>
      <c r="S49" s="60">
        <v>4000</v>
      </c>
      <c r="T49" s="60">
        <v>3170</v>
      </c>
      <c r="U49" s="47">
        <v>1970</v>
      </c>
      <c r="V49" s="47">
        <v>2120</v>
      </c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61">
        <v>44984</v>
      </c>
      <c r="AK49" s="61">
        <v>44993</v>
      </c>
      <c r="AL49" s="61">
        <v>45000</v>
      </c>
      <c r="AM49" s="49">
        <v>45009</v>
      </c>
      <c r="AN49" s="44">
        <v>45012</v>
      </c>
      <c r="AO49" s="117"/>
      <c r="AP49" s="117"/>
      <c r="AQ49" s="117"/>
      <c r="AR49" s="48"/>
      <c r="AS49" s="42">
        <f t="shared" si="27"/>
        <v>4.2253092817258633</v>
      </c>
      <c r="AT49" s="42">
        <f t="shared" si="28"/>
        <v>3.6020599913279625</v>
      </c>
      <c r="AU49" s="42">
        <f t="shared" si="29"/>
        <v>3.5010592622177517</v>
      </c>
      <c r="AV49" s="42">
        <f>IF(S49&gt;0,(LOG(S49)),"")</f>
        <v>3.6020599913279625</v>
      </c>
      <c r="AW49" s="42">
        <f>IF(V49&gt;0,(LOG(V49)),"")</f>
        <v>3.3263358609287512</v>
      </c>
      <c r="AX49" s="42" t="str">
        <f>IF(W49&gt;0,(LOG(W49)),"")</f>
        <v/>
      </c>
      <c r="BC49" s="42">
        <f t="shared" si="34"/>
        <v>0</v>
      </c>
      <c r="BD49" s="42">
        <f t="shared" si="41"/>
        <v>9</v>
      </c>
      <c r="BE49" s="42">
        <f t="shared" si="35"/>
        <v>16</v>
      </c>
      <c r="BF49" s="42">
        <f t="shared" si="36"/>
        <v>25</v>
      </c>
      <c r="BG49" s="42">
        <f t="shared" si="37"/>
        <v>28</v>
      </c>
      <c r="BH49" s="42" t="str">
        <f t="shared" si="10"/>
        <v/>
      </c>
      <c r="BI49" s="42" t="str">
        <f t="shared" si="38"/>
        <v/>
      </c>
      <c r="BJ49" s="42" t="str">
        <f t="shared" si="39"/>
        <v/>
      </c>
      <c r="BK49" s="42" t="str">
        <f t="shared" si="40"/>
        <v/>
      </c>
      <c r="BN49" s="42">
        <f>INTERCEPT($AS49:AT49,$BC49:BD49)</f>
        <v>4.2253092817258633</v>
      </c>
      <c r="BO49" s="42">
        <f>INTERCEPT($AS49:AU49,$BC49:BE49)</f>
        <v>4.1626767187840139</v>
      </c>
      <c r="BP49" s="42">
        <f>INTERCEPT($AS49:AV49,$BC49:BF49)</f>
        <v>4.0347036851313201</v>
      </c>
      <c r="BQ49" s="42">
        <f>INTERCEPT($AS49:AW49,$BC49:BG49)</f>
        <v>4.0399519289896038</v>
      </c>
      <c r="BR49" s="42">
        <f>INTERCEPT($AS49:AX49,$BC49:BH49)</f>
        <v>4.0399519289896038</v>
      </c>
      <c r="BS49" s="42">
        <f>INTERCEPT($AS49:AY49,$BC49:BI49)</f>
        <v>4.0399519289896038</v>
      </c>
      <c r="BT49" s="42">
        <f>INTERCEPT($AS49:AZ49,$BC49:BJ49)</f>
        <v>4.0399519289896038</v>
      </c>
      <c r="BU49" s="42">
        <f>INTERCEPT($AS49:BA49,$BC49:BK49)</f>
        <v>4.0399519289896038</v>
      </c>
      <c r="BX49" s="42">
        <f t="shared" si="19"/>
        <v>-6.9249921155322303E-2</v>
      </c>
      <c r="BY49" s="42">
        <f t="shared" si="20"/>
        <v>-4.6384064843218567E-2</v>
      </c>
      <c r="BZ49" s="42">
        <f t="shared" si="24"/>
        <v>-2.4166524278514831E-2</v>
      </c>
      <c r="CA49" s="42">
        <f t="shared" si="25"/>
        <v>-2.4909426377176025E-2</v>
      </c>
      <c r="CB49" s="42" t="str">
        <f t="shared" si="26"/>
        <v/>
      </c>
      <c r="CC49" s="42" t="str">
        <f t="shared" si="21"/>
        <v/>
      </c>
      <c r="CD49" s="42" t="str">
        <f t="shared" si="22"/>
        <v/>
      </c>
      <c r="CE49" s="42" t="str">
        <f t="shared" si="23"/>
        <v/>
      </c>
      <c r="CH49" s="42">
        <f>IF(S49&gt;0,((4-BN49)/(SLOPE($AS49:AT49, $BC49:BD49))),"")</f>
        <v>3.2535673393838489</v>
      </c>
      <c r="CI49" s="42">
        <f>IF(T49&gt;0,((4-BO49)/(SLOPE($AS49:AU49, $BC49:BE49))),"")</f>
        <v>3.5071682340448764</v>
      </c>
      <c r="CJ49" s="42">
        <f>IF(U49&gt;0,((4-BP49)/(SLOPE($AS49:AV49, $BC49:BF49))),"")</f>
        <v>1.4360230180958726</v>
      </c>
      <c r="CK49" s="42">
        <f>IF(V49&gt;0,((4-BQ49)/(SLOPE($AS49:AW49, $BC49:BG49))),"")</f>
        <v>1.6038879573000067</v>
      </c>
      <c r="CL49" s="42" t="str">
        <f>IF(W49&gt;0,((4-BR49)/(SLOPE($AS49:AX49, $BC49:BH49))),"")</f>
        <v/>
      </c>
      <c r="CM49" s="42" t="str">
        <f>IF(X49&gt;0,((4-BS49)/(SLOPE($AS49:AY49, $BC49:BI49))),"")</f>
        <v/>
      </c>
      <c r="CN49" s="42" t="str">
        <f>IF(Y49&gt;0,((4-BT49)/(SLOPE($AS49:AZ49, $BC49:BJ49))),"")</f>
        <v/>
      </c>
      <c r="CO49" s="42" t="str">
        <f>IF(Z49&gt;0,((4-BU49)/(SLOPE($AS49:BA49, $BC49:BK49))),"")</f>
        <v/>
      </c>
    </row>
    <row r="50" spans="1:93">
      <c r="A50" s="42">
        <v>3</v>
      </c>
      <c r="B50" s="123" t="s">
        <v>608</v>
      </c>
      <c r="C50" s="63" t="s">
        <v>609</v>
      </c>
      <c r="D50" s="64" t="s">
        <v>609</v>
      </c>
      <c r="E50" s="45" t="s">
        <v>35</v>
      </c>
      <c r="F50" s="52" t="s">
        <v>63</v>
      </c>
      <c r="G50" s="52"/>
      <c r="H50" s="52" t="s">
        <v>99</v>
      </c>
      <c r="I50" s="52" t="s">
        <v>99</v>
      </c>
      <c r="J50" s="46" t="s">
        <v>544</v>
      </c>
      <c r="K50" s="46"/>
      <c r="L50" s="46"/>
      <c r="M50" s="72" cm="1">
        <f t="array" ref="M50">LOOKUP(2,1/(ISNUMBER(BX50:CE50)),BX50:CE50)</f>
        <v>-3.0344242962078889E-2</v>
      </c>
      <c r="N50" s="72" cm="1">
        <f t="array" ref="N50">LOOKUP(2,1/(ISNUMBER(CH50:CO50)),CH50:CO50)</f>
        <v>63.132564524401523</v>
      </c>
      <c r="O50" s="58">
        <v>15333333333.333334</v>
      </c>
      <c r="P50" s="58">
        <v>604918115.05849791</v>
      </c>
      <c r="Q50" s="59">
        <f t="shared" si="32"/>
        <v>0.97219219455866313</v>
      </c>
      <c r="R50" s="60">
        <v>1450000</v>
      </c>
      <c r="S50" s="60">
        <v>260000</v>
      </c>
      <c r="T50" s="47">
        <v>216000</v>
      </c>
      <c r="U50" s="47">
        <v>217000</v>
      </c>
      <c r="V50" s="47">
        <v>130666.66666666666</v>
      </c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61">
        <v>44993</v>
      </c>
      <c r="AK50" s="61">
        <v>45000</v>
      </c>
      <c r="AL50" s="49">
        <v>45009</v>
      </c>
      <c r="AM50" s="48">
        <v>45014</v>
      </c>
      <c r="AN50" s="48">
        <v>45022</v>
      </c>
      <c r="AO50" s="117"/>
      <c r="AP50" s="117"/>
      <c r="AQ50" s="117"/>
      <c r="AR50" s="48"/>
      <c r="AS50" s="42">
        <f t="shared" si="27"/>
        <v>6.1613680022349753</v>
      </c>
      <c r="AT50" s="42">
        <f t="shared" si="28"/>
        <v>5.4149733479708182</v>
      </c>
      <c r="AU50" s="42">
        <f t="shared" si="29"/>
        <v>5.3344537511509307</v>
      </c>
      <c r="AV50" s="42">
        <f>IF(U50&gt;0,(LOG(U50)),"")</f>
        <v>5.3364597338485291</v>
      </c>
      <c r="AW50" s="42">
        <f>IF(V50&gt;0,(LOG(V50)),"")</f>
        <v>5.116164812300795</v>
      </c>
      <c r="AX50" s="42" t="str">
        <f>IF(Z50&gt;0,(LOG(Z50)),"")</f>
        <v/>
      </c>
      <c r="AY50" s="42" t="str">
        <f>IF(X50&gt;0,(LOG(X50)),"")</f>
        <v/>
      </c>
      <c r="AZ50" s="42" t="str">
        <f>IF(Y50&gt;0,(LOG(Y50)),"")</f>
        <v/>
      </c>
      <c r="BA50" s="42" t="e">
        <f>IF(#REF!&gt;0,(LOG(#REF!)),"")</f>
        <v>#REF!</v>
      </c>
      <c r="BC50" s="42">
        <f t="shared" si="34"/>
        <v>0</v>
      </c>
      <c r="BD50" s="42">
        <f t="shared" si="41"/>
        <v>7</v>
      </c>
      <c r="BE50" s="42">
        <f t="shared" si="35"/>
        <v>16</v>
      </c>
      <c r="BF50" s="42">
        <f t="shared" si="36"/>
        <v>21</v>
      </c>
      <c r="BG50" s="42">
        <f t="shared" si="37"/>
        <v>29</v>
      </c>
      <c r="BH50" s="42" t="str">
        <f t="shared" si="10"/>
        <v/>
      </c>
      <c r="BI50" s="42" t="str">
        <f t="shared" si="38"/>
        <v/>
      </c>
      <c r="BJ50" s="42" t="str">
        <f t="shared" si="39"/>
        <v/>
      </c>
      <c r="BK50" s="42" t="str">
        <f t="shared" si="40"/>
        <v/>
      </c>
      <c r="BN50" s="42">
        <f>INTERCEPT($AS50:AT50,$BC50:BD50)</f>
        <v>6.1613680022349762</v>
      </c>
      <c r="BO50" s="42">
        <f>INTERCEPT($AS50:AU50,$BC50:BE50)</f>
        <v>6.0178829442149135</v>
      </c>
      <c r="BP50" s="42">
        <f>INTERCEPT($AS50:AV50,$BC50:BF50)</f>
        <v>5.956389390268904</v>
      </c>
      <c r="BQ50" s="42">
        <f>INTERCEPT($AS50:AW50,$BC50:BG50)</f>
        <v>5.9157098767475622</v>
      </c>
      <c r="BR50" s="42">
        <f>INTERCEPT($AS50:AX50,$BC50:BH50)</f>
        <v>5.9157098767475622</v>
      </c>
      <c r="BS50" s="42">
        <f>INTERCEPT($AS50:AY50,$BC50:BI50)</f>
        <v>5.9157098767475622</v>
      </c>
      <c r="BT50" s="42">
        <f>INTERCEPT($AS50:AZ50,$BC50:BJ50)</f>
        <v>5.9157098767475622</v>
      </c>
      <c r="BU50" s="42" t="e">
        <f>INTERCEPT($AS50:BA50,$BC50:BK50)</f>
        <v>#REF!</v>
      </c>
      <c r="BX50" s="42">
        <f t="shared" si="19"/>
        <v>-0.10662780775202244</v>
      </c>
      <c r="BY50" s="42">
        <f t="shared" si="20"/>
        <v>-4.9689292664696377E-2</v>
      </c>
      <c r="BZ50" s="42">
        <f t="shared" si="24"/>
        <v>-3.5870516497053646E-2</v>
      </c>
      <c r="CA50" s="42">
        <f t="shared" si="25"/>
        <v>-3.0344242962078889E-2</v>
      </c>
      <c r="CB50" s="42" t="str">
        <f t="shared" si="26"/>
        <v/>
      </c>
      <c r="CC50" s="42" t="str">
        <f t="shared" si="21"/>
        <v/>
      </c>
      <c r="CD50" s="42" t="str">
        <f t="shared" si="22"/>
        <v/>
      </c>
      <c r="CE50" s="42" t="str">
        <f t="shared" si="23"/>
        <v/>
      </c>
      <c r="CH50" s="42">
        <f>IF(S50&gt;0,((4-BN50)/(SLOPE($AS50:AT50, $BC50:BD50))),"")</f>
        <v>20.270209505399691</v>
      </c>
      <c r="CI50" s="42">
        <f>IF(T50&gt;0,((4-BO50)/(SLOPE($AS50:AU50, $BC50:BE50))),"")</f>
        <v>40.610015478215779</v>
      </c>
      <c r="CJ50" s="42">
        <f>IF(U50&gt;0,((4-BP50)/(SLOPE($AS50:AV50, $BC50:BF50))),"")</f>
        <v>54.540318381799693</v>
      </c>
      <c r="CK50" s="42">
        <f>IF(V50&gt;0,((4-BQ50)/(SLOPE($AS50:AW50, $BC50:BG50))),"")</f>
        <v>63.132564524401523</v>
      </c>
      <c r="CL50" s="42" t="str">
        <f>IF(W50&gt;0,((4-BR50)/(SLOPE($AS50:AX50, $BC50:BH50))),"")</f>
        <v/>
      </c>
      <c r="CM50" s="42" t="str">
        <f>IF(X50&gt;0,((4-BS50)/(SLOPE($AS50:AY50, $BC50:BI50))),"")</f>
        <v/>
      </c>
      <c r="CN50" s="42" t="str">
        <f>IF(Y50&gt;0,((4-BT50)/(SLOPE($AS50:AZ50, $BC50:BJ50))),"")</f>
        <v/>
      </c>
      <c r="CO50" s="42" t="str">
        <f>IF(Z50&gt;0,((4-BU50)/(SLOPE($AS50:BA50, $BC50:BK50))),"")</f>
        <v/>
      </c>
    </row>
    <row r="51" spans="1:93">
      <c r="A51" s="42">
        <v>4</v>
      </c>
      <c r="B51" s="123" t="s">
        <v>608</v>
      </c>
      <c r="C51" s="63" t="s">
        <v>610</v>
      </c>
      <c r="D51" s="64" t="s">
        <v>610</v>
      </c>
      <c r="E51" s="45" t="s">
        <v>61</v>
      </c>
      <c r="F51" s="52" t="s">
        <v>63</v>
      </c>
      <c r="G51" s="52"/>
      <c r="H51" s="52" t="s">
        <v>105</v>
      </c>
      <c r="I51" s="52" t="s">
        <v>105</v>
      </c>
      <c r="J51" s="46" t="s">
        <v>544</v>
      </c>
      <c r="K51" s="46"/>
      <c r="L51" s="46"/>
      <c r="M51" s="72" cm="1">
        <f t="array" ref="M51">LOOKUP(2,1/(ISNUMBER(BX51:CE51)),BX51:CE51)</f>
        <v>-2.9532849583324462E-2</v>
      </c>
      <c r="N51" s="72" cm="1">
        <f t="array" ref="N51">LOOKUP(2,1/(ISNUMBER(CH51:CO51)),CH51:CO51)</f>
        <v>40.631534300183191</v>
      </c>
      <c r="O51" s="58">
        <v>24733333333.333336</v>
      </c>
      <c r="P51" s="58">
        <v>192450089.72987527</v>
      </c>
      <c r="Q51" s="59">
        <f t="shared" si="32"/>
        <v>1.9520401860265588</v>
      </c>
      <c r="R51" s="60">
        <v>245000</v>
      </c>
      <c r="S51" s="60">
        <v>62500</v>
      </c>
      <c r="T51" s="47">
        <v>43100</v>
      </c>
      <c r="U51" s="47">
        <v>38700</v>
      </c>
      <c r="V51" s="47">
        <v>27333.333333333328</v>
      </c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61">
        <v>44993</v>
      </c>
      <c r="AK51" s="61">
        <v>45000</v>
      </c>
      <c r="AL51" s="49">
        <v>45009</v>
      </c>
      <c r="AM51" s="48">
        <v>45014</v>
      </c>
      <c r="AN51" s="48">
        <v>45022</v>
      </c>
      <c r="AO51" s="117"/>
      <c r="AP51" s="117"/>
      <c r="AQ51" s="117"/>
      <c r="AR51" s="48"/>
      <c r="AS51" s="42">
        <f t="shared" si="27"/>
        <v>5.3891660843645326</v>
      </c>
      <c r="AT51" s="42">
        <f t="shared" si="28"/>
        <v>4.795880017344075</v>
      </c>
      <c r="AU51" s="42">
        <f t="shared" si="29"/>
        <v>4.6344772701607315</v>
      </c>
      <c r="AV51" s="42">
        <f>IF(U51&gt;0,(LOG(U51)),"")</f>
        <v>4.5877109650189114</v>
      </c>
      <c r="AW51" s="42">
        <f>IF(V51&gt;0,(LOG(V51)),"")</f>
        <v>4.4366925976640541</v>
      </c>
      <c r="AX51" s="42" t="str">
        <f>IF(Z51&gt;0,(LOG(Z51)),"")</f>
        <v/>
      </c>
      <c r="AY51" s="42" t="str">
        <f>IF(X51&gt;0,(LOG(X51)),"")</f>
        <v/>
      </c>
      <c r="AZ51" s="42" t="str">
        <f>IF(Y51&gt;0,(LOG(Y51)),"")</f>
        <v/>
      </c>
      <c r="BA51" s="42" t="e">
        <f>IF(#REF!&gt;0,(LOG(#REF!)),"")</f>
        <v>#REF!</v>
      </c>
      <c r="BC51" s="42">
        <f t="shared" si="34"/>
        <v>0</v>
      </c>
      <c r="BD51" s="42">
        <f t="shared" si="41"/>
        <v>7</v>
      </c>
      <c r="BE51" s="42">
        <f t="shared" si="35"/>
        <v>16</v>
      </c>
      <c r="BF51" s="42">
        <f t="shared" si="36"/>
        <v>21</v>
      </c>
      <c r="BG51" s="42">
        <f t="shared" si="37"/>
        <v>29</v>
      </c>
      <c r="BH51" s="42" t="str">
        <f t="shared" si="10"/>
        <v/>
      </c>
      <c r="BI51" s="42" t="str">
        <f t="shared" si="38"/>
        <v/>
      </c>
      <c r="BJ51" s="42" t="str">
        <f t="shared" si="39"/>
        <v/>
      </c>
      <c r="BK51" s="42" t="str">
        <f t="shared" si="40"/>
        <v/>
      </c>
      <c r="BN51" s="42">
        <f>INTERCEPT($AS51:AT51,$BC51:BD51)</f>
        <v>5.3891660843645326</v>
      </c>
      <c r="BO51" s="42">
        <f>INTERCEPT($AS51:AU51,$BC51:BE51)</f>
        <v>5.291011166343532</v>
      </c>
      <c r="BP51" s="42">
        <f>INTERCEPT($AS51:AV51,$BC51:BF51)</f>
        <v>5.2470885878874345</v>
      </c>
      <c r="BQ51" s="42">
        <f>INTERCEPT($AS51:AW51,$BC51:BG51)</f>
        <v>5.1999649908269987</v>
      </c>
      <c r="BR51" s="42">
        <f>INTERCEPT($AS51:AX51,$BC51:BH51)</f>
        <v>5.1999649908269987</v>
      </c>
      <c r="BS51" s="42">
        <f>INTERCEPT($AS51:AY51,$BC51:BI51)</f>
        <v>5.1999649908269987</v>
      </c>
      <c r="BT51" s="42">
        <f>INTERCEPT($AS51:AZ51,$BC51:BJ51)</f>
        <v>5.1999649908269987</v>
      </c>
      <c r="BU51" s="42" t="e">
        <f>INTERCEPT($AS51:BA51,$BC51:BK51)</f>
        <v>#REF!</v>
      </c>
      <c r="BX51" s="42">
        <f t="shared" si="19"/>
        <v>-8.4755152431493938E-2</v>
      </c>
      <c r="BY51" s="42">
        <f t="shared" si="20"/>
        <v>-4.5804788137445887E-2</v>
      </c>
      <c r="BZ51" s="42">
        <f t="shared" ref="BZ51:BZ63" si="54">IF(S51&gt;1,(SLOPE(AS51:AV51, BC51:BF51)),"")</f>
        <v>-3.5934545787761021E-2</v>
      </c>
      <c r="CA51" s="42">
        <f t="shared" si="25"/>
        <v>-2.9532849583324462E-2</v>
      </c>
      <c r="CB51" s="42" t="str">
        <f t="shared" si="26"/>
        <v/>
      </c>
      <c r="CC51" s="42" t="str">
        <f t="shared" si="21"/>
        <v/>
      </c>
      <c r="CD51" s="42" t="str">
        <f t="shared" si="22"/>
        <v/>
      </c>
      <c r="CE51" s="42" t="str">
        <f t="shared" si="23"/>
        <v/>
      </c>
      <c r="CH51" s="42">
        <f>IF(S51&gt;0,((4-BN51)/(SLOPE($AS51:AT51, $BC51:BD51))),"")</f>
        <v>16.390343766856777</v>
      </c>
      <c r="CI51" s="42">
        <f>IF(T51&gt;0,((4-BO51)/(SLOPE($AS51:AU51, $BC51:BE51))),"")</f>
        <v>28.185070138728946</v>
      </c>
      <c r="CJ51" s="42">
        <f>IF(U51&gt;0,((4-BP51)/(SLOPE($AS51:AV51, $BC51:BF51))),"")</f>
        <v>34.704448339296427</v>
      </c>
      <c r="CK51" s="42">
        <f>IF(V51&gt;0,((4-BQ51)/(SLOPE($AS51:AW51, $BC51:BG51))),"")</f>
        <v>40.631534300183191</v>
      </c>
      <c r="CL51" s="42" t="str">
        <f>IF(W51&gt;0,((4-BR51)/(SLOPE($AS51:AX51, $BC51:BH51))),"")</f>
        <v/>
      </c>
      <c r="CM51" s="42" t="str">
        <f>IF(X51&gt;0,((4-BS51)/(SLOPE($AS51:AY51, $BC51:BI51))),"")</f>
        <v/>
      </c>
      <c r="CN51" s="42" t="str">
        <f>IF(Y51&gt;0,((4-BT51)/(SLOPE($AS51:AZ51, $BC51:BJ51))),"")</f>
        <v/>
      </c>
      <c r="CO51" s="42" t="str">
        <f>IF(Z51&gt;0,((4-BU51)/(SLOPE($AS51:BA51, $BC51:BK51))),"")</f>
        <v/>
      </c>
    </row>
    <row r="52" spans="1:93">
      <c r="A52" s="42">
        <v>67</v>
      </c>
      <c r="B52" s="123" t="s">
        <v>608</v>
      </c>
      <c r="C52" s="52" t="s">
        <v>215</v>
      </c>
      <c r="D52" s="64" t="s">
        <v>216</v>
      </c>
      <c r="E52" s="65" t="s">
        <v>61</v>
      </c>
      <c r="F52" s="52" t="s">
        <v>63</v>
      </c>
      <c r="G52" s="52"/>
      <c r="H52" s="66" t="s">
        <v>209</v>
      </c>
      <c r="I52" s="52" t="s">
        <v>586</v>
      </c>
      <c r="J52" s="46" t="s">
        <v>544</v>
      </c>
      <c r="K52" s="46"/>
      <c r="L52" s="46"/>
      <c r="M52" s="72" cm="1">
        <f t="array" ref="M52">LOOKUP(2,1/(ISNUMBER(BX52:CE52)),BX52:CE52)</f>
        <v>-2.4848019664833621E-2</v>
      </c>
      <c r="N52" s="72" cm="1">
        <f t="array" ref="N52">LOOKUP(2,1/(ISNUMBER(CH52:CO52)),CH52:CO52)</f>
        <v>54.323659994879165</v>
      </c>
      <c r="O52" s="58">
        <v>14333333333.333334</v>
      </c>
      <c r="P52" s="58">
        <v>1529463716.2284229</v>
      </c>
      <c r="Q52" s="59">
        <f t="shared" si="32"/>
        <v>1.5715164416991527</v>
      </c>
      <c r="R52" s="60">
        <v>341000</v>
      </c>
      <c r="S52" s="60">
        <v>86700</v>
      </c>
      <c r="T52" s="47">
        <v>75700</v>
      </c>
      <c r="U52" s="47">
        <v>55700</v>
      </c>
      <c r="V52" s="47">
        <v>44399.999999999993</v>
      </c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61">
        <v>44993</v>
      </c>
      <c r="AK52" s="61">
        <v>45000</v>
      </c>
      <c r="AL52" s="49">
        <v>45009</v>
      </c>
      <c r="AM52" s="48">
        <v>45014</v>
      </c>
      <c r="AN52" s="48">
        <v>45022</v>
      </c>
      <c r="AO52" s="117"/>
      <c r="AP52" s="117"/>
      <c r="AQ52" s="117"/>
      <c r="AR52" s="48"/>
      <c r="AS52" s="42">
        <f t="shared" si="27"/>
        <v>5.5327543789924976</v>
      </c>
      <c r="AT52" s="42">
        <f t="shared" si="28"/>
        <v>4.9380190974762099</v>
      </c>
      <c r="AU52" s="42">
        <f t="shared" si="29"/>
        <v>4.8790958795000732</v>
      </c>
      <c r="AV52" s="42">
        <f>IF(S52&gt;0,(LOG(S52)),"")</f>
        <v>4.9380190974762099</v>
      </c>
      <c r="AW52" s="42">
        <f t="shared" ref="AW52:AW74" si="55">IF(V52&gt;0,(LOG(V52)),"")</f>
        <v>4.6473829701146201</v>
      </c>
      <c r="AX52" s="42" t="str">
        <f t="shared" ref="AX52:AX74" si="56">IF(W52&gt;0,(LOG(W52)),"")</f>
        <v/>
      </c>
      <c r="BC52" s="42">
        <f t="shared" si="34"/>
        <v>0</v>
      </c>
      <c r="BD52" s="42">
        <f t="shared" si="41"/>
        <v>7</v>
      </c>
      <c r="BE52" s="42">
        <f t="shared" si="35"/>
        <v>16</v>
      </c>
      <c r="BF52" s="42">
        <f t="shared" si="36"/>
        <v>21</v>
      </c>
      <c r="BG52" s="42">
        <f t="shared" si="37"/>
        <v>29</v>
      </c>
      <c r="BH52" s="42" t="str">
        <f t="shared" si="10"/>
        <v/>
      </c>
      <c r="BI52" s="42" t="str">
        <f t="shared" si="38"/>
        <v/>
      </c>
      <c r="BJ52" s="42" t="str">
        <f t="shared" si="39"/>
        <v/>
      </c>
      <c r="BK52" s="42" t="str">
        <f t="shared" si="40"/>
        <v/>
      </c>
      <c r="BN52" s="42">
        <f>INTERCEPT($AS52:AT52,$BC52:BD52)</f>
        <v>5.5327543789924976</v>
      </c>
      <c r="BO52" s="42">
        <f>INTERCEPT($AS52:AU52,$BC52:BE52)</f>
        <v>5.4175694176704186</v>
      </c>
      <c r="BP52" s="42">
        <f>INTERCEPT($AS52:AV52,$BC52:BF52)</f>
        <v>5.3590093120336082</v>
      </c>
      <c r="BQ52" s="42">
        <f>INTERCEPT($AS52:AW52,$BC52:BG52)</f>
        <v>5.349835371818493</v>
      </c>
      <c r="BR52" s="42">
        <f>INTERCEPT($AS52:AX52,$BC52:BH52)</f>
        <v>5.349835371818493</v>
      </c>
      <c r="BS52" s="42">
        <f>INTERCEPT($AS52:AY52,$BC52:BI52)</f>
        <v>5.349835371818493</v>
      </c>
      <c r="BT52" s="42">
        <f>INTERCEPT($AS52:AZ52,$BC52:BJ52)</f>
        <v>5.349835371818493</v>
      </c>
      <c r="BU52" s="42">
        <f>INTERCEPT($AS52:BA52,$BC52:BK52)</f>
        <v>5.349835371818493</v>
      </c>
      <c r="BX52" s="42">
        <f t="shared" si="19"/>
        <v>-8.4962183073755373E-2</v>
      </c>
      <c r="BY52" s="42">
        <f t="shared" si="20"/>
        <v>-3.92538650888032E-2</v>
      </c>
      <c r="BZ52" s="42">
        <f t="shared" si="54"/>
        <v>-2.6094290788396365E-2</v>
      </c>
      <c r="CA52" s="42">
        <f t="shared" si="25"/>
        <v>-2.4848019664833621E-2</v>
      </c>
      <c r="CB52" s="42" t="str">
        <f t="shared" si="26"/>
        <v/>
      </c>
      <c r="CC52" s="42" t="str">
        <f t="shared" si="21"/>
        <v/>
      </c>
      <c r="CD52" s="42" t="str">
        <f t="shared" si="22"/>
        <v/>
      </c>
      <c r="CE52" s="42" t="str">
        <f t="shared" si="23"/>
        <v/>
      </c>
      <c r="CH52" s="42">
        <f>IF(S52&gt;0,((4-BN52)/(SLOPE($AS52:AT52, $BC52:BD52))),"")</f>
        <v>18.040430736836399</v>
      </c>
      <c r="CI52" s="42">
        <f>IF(T52&gt;0,((4-BO52)/(SLOPE($AS52:AU52, $BC52:BE52))),"")</f>
        <v>36.112862121054341</v>
      </c>
      <c r="CJ52" s="42">
        <f>IF(U52&gt;0,((4-BP52)/(SLOPE($AS52:AV52, $BC52:BF52))),"")</f>
        <v>52.080714630417695</v>
      </c>
      <c r="CK52" s="42">
        <f>IF(V52&gt;0,((4-BQ52)/(SLOPE($AS52:AW52, $BC52:BG52))),"")</f>
        <v>54.323659994879165</v>
      </c>
      <c r="CL52" s="42" t="str">
        <f>IF(W52&gt;0,((4-BR52)/(SLOPE($AS52:AX52, $BC52:BH52))),"")</f>
        <v/>
      </c>
      <c r="CM52" s="42" t="str">
        <f>IF(X52&gt;0,((4-BS52)/(SLOPE($AS52:AY52, $BC52:BI52))),"")</f>
        <v/>
      </c>
      <c r="CN52" s="42" t="str">
        <f>IF(Y52&gt;0,((4-BT52)/(SLOPE($AS52:AZ52, $BC52:BJ52))),"")</f>
        <v/>
      </c>
      <c r="CO52" s="42" t="str">
        <f>IF(Z52&gt;0,((4-BU52)/(SLOPE($AS52:BA52, $BC52:BK52))),"")</f>
        <v/>
      </c>
    </row>
    <row r="53" spans="1:93">
      <c r="A53" s="42">
        <v>68</v>
      </c>
      <c r="B53" s="123" t="s">
        <v>608</v>
      </c>
      <c r="C53" s="66" t="s">
        <v>223</v>
      </c>
      <c r="D53" s="64" t="s">
        <v>224</v>
      </c>
      <c r="E53" s="65" t="s">
        <v>61</v>
      </c>
      <c r="F53" s="66" t="s">
        <v>63</v>
      </c>
      <c r="G53" s="66"/>
      <c r="H53" s="66" t="s">
        <v>611</v>
      </c>
      <c r="I53" s="66" t="s">
        <v>612</v>
      </c>
      <c r="J53" s="62" t="s">
        <v>544</v>
      </c>
      <c r="K53" s="62"/>
      <c r="M53" s="72" cm="1">
        <f t="array" ref="M53">LOOKUP(2,1/(ISNUMBER(BX53:CE53)),BX53:CE53)</f>
        <v>-2.6443737251291694E-2</v>
      </c>
      <c r="N53" s="72" cm="1">
        <f t="array" ref="N53">LOOKUP(2,1/(ISNUMBER(CH53:CO53)),CH53:CO53)</f>
        <v>45.984551754399206</v>
      </c>
      <c r="O53" s="67">
        <v>8466666666.6666679</v>
      </c>
      <c r="P53" s="67">
        <v>300616650.18819296</v>
      </c>
      <c r="Q53" s="59">
        <f t="shared" si="32"/>
        <v>1.4117430927460948</v>
      </c>
      <c r="R53" s="60">
        <v>291000</v>
      </c>
      <c r="S53" s="60">
        <v>59600</v>
      </c>
      <c r="T53" s="68">
        <v>40000</v>
      </c>
      <c r="U53" s="68">
        <v>33900</v>
      </c>
      <c r="V53" s="68">
        <v>34133.333333333328</v>
      </c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1">
        <v>44993</v>
      </c>
      <c r="AK53" s="61">
        <v>45000</v>
      </c>
      <c r="AL53" s="49">
        <v>45009</v>
      </c>
      <c r="AM53" s="48">
        <v>45014</v>
      </c>
      <c r="AN53" s="48">
        <v>45022</v>
      </c>
      <c r="AO53" s="69"/>
      <c r="AP53" s="69"/>
      <c r="AQ53" s="69"/>
      <c r="AR53" s="69"/>
      <c r="AS53" s="42">
        <f t="shared" si="27"/>
        <v>5.4638929889859069</v>
      </c>
      <c r="AT53" s="42">
        <f t="shared" si="28"/>
        <v>4.7752462597402365</v>
      </c>
      <c r="AU53" s="42">
        <f t="shared" si="29"/>
        <v>4.6020599913279625</v>
      </c>
      <c r="AV53" s="42">
        <f>IF(S53&gt;0,(LOG(S53)),"")</f>
        <v>4.7752462597402365</v>
      </c>
      <c r="AW53" s="42">
        <f t="shared" si="55"/>
        <v>4.533178701920149</v>
      </c>
      <c r="AX53" s="42" t="str">
        <f t="shared" si="56"/>
        <v/>
      </c>
      <c r="BC53" s="42">
        <f t="shared" si="34"/>
        <v>0</v>
      </c>
      <c r="BD53" s="42">
        <f t="shared" si="41"/>
        <v>7</v>
      </c>
      <c r="BE53" s="42">
        <f t="shared" si="35"/>
        <v>16</v>
      </c>
      <c r="BF53" s="42">
        <f t="shared" si="36"/>
        <v>21</v>
      </c>
      <c r="BG53" s="42">
        <f t="shared" si="37"/>
        <v>29</v>
      </c>
      <c r="BH53" s="42" t="str">
        <f t="shared" si="10"/>
        <v/>
      </c>
      <c r="BI53" s="42" t="str">
        <f t="shared" si="38"/>
        <v/>
      </c>
      <c r="BJ53" s="42" t="str">
        <f t="shared" si="39"/>
        <v/>
      </c>
      <c r="BK53" s="42" t="str">
        <f t="shared" si="40"/>
        <v/>
      </c>
      <c r="BN53" s="42">
        <f>INTERCEPT($AS53:AT53,$BC53:BD53)</f>
        <v>5.4638929889859069</v>
      </c>
      <c r="BO53" s="42">
        <f>INTERCEPT($AS53:AU53,$BC53:BE53)</f>
        <v>5.3476503719938702</v>
      </c>
      <c r="BP53" s="42">
        <f>INTERCEPT($AS53:AV53,$BC53:BF53)</f>
        <v>5.2585064093050784</v>
      </c>
      <c r="BQ53" s="42">
        <f>INTERCEPT($AS53:AW53,$BC53:BG53)</f>
        <v>5.2160034042117571</v>
      </c>
      <c r="BR53" s="42">
        <f>INTERCEPT($AS53:AX53,$BC53:BH53)</f>
        <v>5.2160034042117571</v>
      </c>
      <c r="BS53" s="42">
        <f>INTERCEPT($AS53:AY53,$BC53:BI53)</f>
        <v>5.2160034042117571</v>
      </c>
      <c r="BT53" s="42">
        <f>INTERCEPT($AS53:AZ53,$BC53:BJ53)</f>
        <v>5.2160034042117571</v>
      </c>
      <c r="BU53" s="42">
        <f>INTERCEPT($AS53:BA53,$BC53:BK53)</f>
        <v>5.2160034042117571</v>
      </c>
      <c r="BX53" s="42">
        <f t="shared" si="19"/>
        <v>-9.837810417795291E-2</v>
      </c>
      <c r="BY53" s="42">
        <f t="shared" si="20"/>
        <v>-5.225008156206546E-2</v>
      </c>
      <c r="BZ53" s="42">
        <f t="shared" si="54"/>
        <v>-3.2217730396044829E-2</v>
      </c>
      <c r="CA53" s="42">
        <f t="shared" si="25"/>
        <v>-2.6443737251291694E-2</v>
      </c>
      <c r="CB53" s="42" t="str">
        <f t="shared" si="26"/>
        <v/>
      </c>
      <c r="CC53" s="42" t="str">
        <f t="shared" si="21"/>
        <v/>
      </c>
      <c r="CD53" s="42" t="str">
        <f t="shared" si="22"/>
        <v/>
      </c>
      <c r="CE53" s="42" t="str">
        <f t="shared" si="23"/>
        <v/>
      </c>
      <c r="CH53" s="42">
        <f>IF(S53&gt;0,((4-BN53)/(SLOPE($AS53:AT53, $BC53:BD53))),"")</f>
        <v>14.880272406326505</v>
      </c>
      <c r="CI53" s="42">
        <f>IF(T53&gt;0,((4-BO53)/(SLOPE($AS53:AU53, $BC53:BE53))),"")</f>
        <v>25.792311355400631</v>
      </c>
      <c r="CJ53" s="42">
        <f>IF(U53&gt;0,((4-BP53)/(SLOPE($AS53:AV53, $BC53:BF53))),"")</f>
        <v>39.062540838059078</v>
      </c>
      <c r="CK53" s="42">
        <f>IF(V53&gt;0,((4-BQ53)/(SLOPE($AS53:AW53, $BC53:BG53))),"")</f>
        <v>45.984551754399206</v>
      </c>
      <c r="CL53" s="42" t="str">
        <f>IF(W53&gt;0,((4-BR53)/(SLOPE($AS53:AX53, $BC53:BH53))),"")</f>
        <v/>
      </c>
      <c r="CM53" s="42" t="str">
        <f>IF(X53&gt;0,((4-BS53)/(SLOPE($AS53:AY53, $BC53:BI53))),"")</f>
        <v/>
      </c>
      <c r="CN53" s="42" t="str">
        <f>IF(Y53&gt;0,((4-BT53)/(SLOPE($AS53:AZ53, $BC53:BJ53))),"")</f>
        <v/>
      </c>
      <c r="CO53" s="42" t="str">
        <f>IF(Z53&gt;0,((4-BU53)/(SLOPE($AS53:BA53, $BC53:BK53))),"")</f>
        <v/>
      </c>
    </row>
    <row r="54" spans="1:93" ht="32">
      <c r="A54" s="42">
        <v>24</v>
      </c>
      <c r="B54" s="123" t="s">
        <v>613</v>
      </c>
      <c r="C54" s="52" t="s">
        <v>107</v>
      </c>
      <c r="D54" s="64" t="s">
        <v>614</v>
      </c>
      <c r="E54" s="45" t="s">
        <v>61</v>
      </c>
      <c r="F54" s="52" t="s">
        <v>63</v>
      </c>
      <c r="G54" s="52"/>
      <c r="H54" s="54" t="s">
        <v>110</v>
      </c>
      <c r="I54" s="54" t="s">
        <v>457</v>
      </c>
      <c r="J54" s="62" t="s">
        <v>593</v>
      </c>
      <c r="K54" s="62">
        <v>21</v>
      </c>
      <c r="L54" s="62">
        <v>12</v>
      </c>
      <c r="M54" s="72" cm="1">
        <f t="array" ref="M54">LOOKUP(2,1/(ISNUMBER(BX54:CE54)),BX54:CE54)</f>
        <v>-3.0879893964829288E-2</v>
      </c>
      <c r="N54" s="72" cm="1">
        <f t="array" ref="N54">LOOKUP(2,1/(ISNUMBER(CH54:CO54)),CH54:CO54)</f>
        <v>14.324010318544532</v>
      </c>
      <c r="O54" s="67">
        <v>2140000000</v>
      </c>
      <c r="P54" s="67">
        <v>76883750.631138653</v>
      </c>
      <c r="Q54" s="59">
        <f t="shared" si="32"/>
        <v>1.7800268393913168</v>
      </c>
      <c r="R54" s="60">
        <v>31500</v>
      </c>
      <c r="S54" s="68">
        <v>16100</v>
      </c>
      <c r="T54" s="68">
        <v>7000</v>
      </c>
      <c r="U54" s="78">
        <v>7199.9999999999991</v>
      </c>
      <c r="V54" s="68">
        <v>3546.6666666666661</v>
      </c>
      <c r="W54" s="68"/>
      <c r="X54" s="68"/>
      <c r="Y54" s="68"/>
      <c r="Z54" s="68"/>
      <c r="AA54" s="68"/>
      <c r="AB54" s="68"/>
      <c r="AC54" s="68"/>
      <c r="AD54" s="68"/>
      <c r="AE54" s="68">
        <v>560.47598818623294</v>
      </c>
      <c r="AF54" s="68"/>
      <c r="AG54" s="68"/>
      <c r="AH54" s="68"/>
      <c r="AI54" s="68"/>
      <c r="AJ54" s="61">
        <v>45000</v>
      </c>
      <c r="AK54" s="61">
        <v>45009</v>
      </c>
      <c r="AL54" s="69">
        <v>45013</v>
      </c>
      <c r="AM54" s="69">
        <v>45022</v>
      </c>
      <c r="AN54" s="69">
        <v>45029</v>
      </c>
      <c r="AO54" s="69"/>
      <c r="AP54" s="69"/>
      <c r="AQ54" s="69"/>
      <c r="AR54" s="69"/>
      <c r="AS54" s="42">
        <f t="shared" si="27"/>
        <v>4.4983105537896009</v>
      </c>
      <c r="AT54" s="42">
        <f t="shared" si="28"/>
        <v>4.20682587603185</v>
      </c>
      <c r="AU54" s="42">
        <f t="shared" si="29"/>
        <v>3.8450980400142569</v>
      </c>
      <c r="AV54" s="42">
        <f t="shared" ref="AV54:AV64" si="57">IF(U54&gt;0,(LOG(U54)),"")</f>
        <v>3.8573324964312685</v>
      </c>
      <c r="AW54" s="42">
        <f t="shared" si="55"/>
        <v>3.5498203732393669</v>
      </c>
      <c r="AX54" s="42" t="str">
        <f t="shared" si="56"/>
        <v/>
      </c>
      <c r="AY54" s="42" t="str">
        <f t="shared" ref="AY54:AY68" si="58">IF(X54&gt;0,(LOG(X54)),"")</f>
        <v/>
      </c>
      <c r="AZ54" s="42" t="str">
        <f t="shared" ref="AZ54:AZ68" si="59">IF(Y54&gt;0,(LOG(Y54)),"")</f>
        <v/>
      </c>
      <c r="BA54" s="42" t="str">
        <f t="shared" ref="BA54:BA68" si="60">IF(Z54&gt;0,(LOG(Z54)),"")</f>
        <v/>
      </c>
      <c r="BC54" s="42">
        <f t="shared" si="34"/>
        <v>0</v>
      </c>
      <c r="BD54" s="42">
        <f t="shared" si="41"/>
        <v>9</v>
      </c>
      <c r="BE54" s="42">
        <f t="shared" si="35"/>
        <v>13</v>
      </c>
      <c r="BF54" s="42">
        <f t="shared" si="36"/>
        <v>22</v>
      </c>
      <c r="BG54" s="42">
        <f t="shared" si="37"/>
        <v>29</v>
      </c>
      <c r="BH54" s="42" t="str">
        <f t="shared" si="10"/>
        <v/>
      </c>
      <c r="BI54" s="42" t="str">
        <f t="shared" si="38"/>
        <v/>
      </c>
      <c r="BJ54" s="42" t="str">
        <f t="shared" si="39"/>
        <v/>
      </c>
      <c r="BK54" s="42" t="str">
        <f t="shared" si="40"/>
        <v/>
      </c>
      <c r="BN54" s="42">
        <f>INTERCEPT($AS54:AT54,$BC54:BD54)</f>
        <v>4.4983105537896009</v>
      </c>
      <c r="BO54" s="42">
        <f>INTERCEPT($AS54:AU54,$BC54:BE54)</f>
        <v>4.5297332878215908</v>
      </c>
      <c r="BP54" s="42">
        <f>INTERCEPT($AS54:AV54,$BC54:BF54)</f>
        <v>4.4439571708977255</v>
      </c>
      <c r="BQ54" s="42">
        <f>INTERCEPT($AS54:AW54,$BC54:BG54)</f>
        <v>4.4423239197877757</v>
      </c>
      <c r="BR54" s="42">
        <f>INTERCEPT($AS54:AX54,$BC54:BH54)</f>
        <v>4.4423239197877757</v>
      </c>
      <c r="BS54" s="42">
        <f>INTERCEPT($AS54:AY54,$BC54:BI54)</f>
        <v>4.4423239197877757</v>
      </c>
      <c r="BT54" s="42">
        <f>INTERCEPT($AS54:AZ54,$BC54:BJ54)</f>
        <v>4.4423239197877757</v>
      </c>
      <c r="BU54" s="42">
        <f>INTERCEPT($AS54:BA54,$BC54:BK54)</f>
        <v>4.4423239197877757</v>
      </c>
      <c r="BX54" s="42">
        <f t="shared" si="19"/>
        <v>-3.2387186417527879E-2</v>
      </c>
      <c r="BY54" s="42">
        <f t="shared" si="20"/>
        <v>-4.7225699710412038E-2</v>
      </c>
      <c r="BZ54" s="42">
        <f t="shared" si="54"/>
        <v>-3.1096857211907369E-2</v>
      </c>
      <c r="CA54" s="42">
        <f t="shared" si="25"/>
        <v>-3.0879893964829288E-2</v>
      </c>
      <c r="CB54" s="42" t="str">
        <f t="shared" si="26"/>
        <v/>
      </c>
      <c r="CC54" s="42" t="str">
        <f t="shared" si="21"/>
        <v/>
      </c>
      <c r="CD54" s="42" t="str">
        <f t="shared" si="22"/>
        <v/>
      </c>
      <c r="CE54" s="42" t="str">
        <f t="shared" si="23"/>
        <v/>
      </c>
      <c r="CH54" s="42">
        <f>IF(S54&gt;0,((4-BN54)/(SLOPE($AS54:AT54, $BC54:BD54))),"")</f>
        <v>15.386040249544994</v>
      </c>
      <c r="CI54" s="42">
        <f>IF(T54&gt;0,((4-BO54)/(SLOPE($AS54:AU54, $BC54:BE54))),"")</f>
        <v>11.217055354815598</v>
      </c>
      <c r="CJ54" s="42">
        <f>IF(U54&gt;0,((4-BP54)/(SLOPE($AS54:AV54, $BC54:BF54))),"")</f>
        <v>14.276592900446827</v>
      </c>
      <c r="CK54" s="42">
        <f>IF(V54&gt;0,((4-BQ54)/(SLOPE($AS54:AW54, $BC54:BG54))),"")</f>
        <v>14.324010318544532</v>
      </c>
      <c r="CL54" s="42" t="str">
        <f>IF(W54&gt;0,((4-BR54)/(SLOPE($AS54:AX54, $BC54:BH54))),"")</f>
        <v/>
      </c>
      <c r="CM54" s="42" t="str">
        <f>IF(X54&gt;0,((4-BS54)/(SLOPE($AS54:AY54, $BC54:BI54))),"")</f>
        <v/>
      </c>
      <c r="CN54" s="42" t="str">
        <f>IF(Y54&gt;0,((4-BT54)/(SLOPE($AS54:AZ54, $BC54:BJ54))),"")</f>
        <v/>
      </c>
      <c r="CO54" s="42" t="str">
        <f>IF(Z54&gt;0,((4-BU54)/(SLOPE($AS54:BA54, $BC54:BK54))),"")</f>
        <v/>
      </c>
    </row>
    <row r="55" spans="1:93" ht="32">
      <c r="A55" s="42">
        <v>26</v>
      </c>
      <c r="B55" s="123" t="s">
        <v>613</v>
      </c>
      <c r="C55" s="46" t="s">
        <v>107</v>
      </c>
      <c r="D55" s="64" t="s">
        <v>504</v>
      </c>
      <c r="E55" s="45" t="s">
        <v>61</v>
      </c>
      <c r="F55" s="52" t="s">
        <v>63</v>
      </c>
      <c r="G55" s="52"/>
      <c r="H55" s="54" t="s">
        <v>110</v>
      </c>
      <c r="I55" s="54" t="s">
        <v>457</v>
      </c>
      <c r="J55" s="62" t="s">
        <v>544</v>
      </c>
      <c r="K55" s="62"/>
      <c r="M55" s="72" cm="1">
        <f t="array" ref="M55">LOOKUP(2,1/(ISNUMBER(BX55:CE55)),BX55:CE55)</f>
        <v>-4.0516761032199387E-2</v>
      </c>
      <c r="N55" s="72" cm="1">
        <f t="array" ref="N55">LOOKUP(2,1/(ISNUMBER(CH55:CO55)),CH55:CO55)</f>
        <v>3.2864006484918638</v>
      </c>
      <c r="O55" s="67">
        <v>2120000000</v>
      </c>
      <c r="P55" s="67">
        <v>83266639.97864531</v>
      </c>
      <c r="Q55" s="59">
        <f t="shared" si="32"/>
        <v>2.0620718763565193</v>
      </c>
      <c r="R55" s="60">
        <v>16300</v>
      </c>
      <c r="S55" s="68">
        <v>5650</v>
      </c>
      <c r="T55" s="68">
        <v>3130</v>
      </c>
      <c r="U55" s="78">
        <v>1639.9999999999998</v>
      </c>
      <c r="V55" s="68">
        <v>1079.9999999999998</v>
      </c>
      <c r="W55" s="68"/>
      <c r="X55" s="68"/>
      <c r="Y55" s="68"/>
      <c r="Z55" s="68"/>
      <c r="AA55" s="68"/>
      <c r="AB55" s="68"/>
      <c r="AC55" s="68"/>
      <c r="AD55" s="68"/>
      <c r="AE55" s="68">
        <v>240</v>
      </c>
      <c r="AF55" s="68"/>
      <c r="AG55" s="68"/>
      <c r="AH55" s="68"/>
      <c r="AI55" s="68"/>
      <c r="AJ55" s="61">
        <v>45000</v>
      </c>
      <c r="AK55" s="61">
        <v>45009</v>
      </c>
      <c r="AL55" s="69">
        <v>45013</v>
      </c>
      <c r="AM55" s="69">
        <v>45022</v>
      </c>
      <c r="AN55" s="69">
        <v>45029</v>
      </c>
      <c r="AO55" s="69"/>
      <c r="AP55" s="69"/>
      <c r="AQ55" s="69"/>
      <c r="AR55" s="69"/>
      <c r="AS55" s="42">
        <f t="shared" si="27"/>
        <v>4.2121876044039581</v>
      </c>
      <c r="AT55" s="42">
        <f t="shared" si="28"/>
        <v>3.7520484478194387</v>
      </c>
      <c r="AU55" s="42">
        <f t="shared" si="29"/>
        <v>3.4955443375464483</v>
      </c>
      <c r="AV55" s="42">
        <f t="shared" si="57"/>
        <v>3.214843848047698</v>
      </c>
      <c r="AW55" s="42">
        <f t="shared" si="55"/>
        <v>3.0334237554869494</v>
      </c>
      <c r="AX55" s="42" t="str">
        <f t="shared" si="56"/>
        <v/>
      </c>
      <c r="AY55" s="42" t="str">
        <f t="shared" si="58"/>
        <v/>
      </c>
      <c r="AZ55" s="42" t="str">
        <f t="shared" si="59"/>
        <v/>
      </c>
      <c r="BA55" s="42" t="str">
        <f t="shared" si="60"/>
        <v/>
      </c>
      <c r="BC55" s="42">
        <f t="shared" si="34"/>
        <v>0</v>
      </c>
      <c r="BD55" s="42">
        <f t="shared" si="41"/>
        <v>9</v>
      </c>
      <c r="BE55" s="42">
        <f t="shared" si="35"/>
        <v>13</v>
      </c>
      <c r="BF55" s="42">
        <f t="shared" si="36"/>
        <v>22</v>
      </c>
      <c r="BG55" s="42">
        <f t="shared" si="37"/>
        <v>29</v>
      </c>
      <c r="BH55" s="42" t="str">
        <f t="shared" si="10"/>
        <v/>
      </c>
      <c r="BI55" s="42" t="str">
        <f t="shared" si="38"/>
        <v/>
      </c>
      <c r="BJ55" s="42" t="str">
        <f t="shared" si="39"/>
        <v/>
      </c>
      <c r="BK55" s="42" t="str">
        <f t="shared" si="40"/>
        <v/>
      </c>
      <c r="BN55" s="42">
        <f>INTERCEPT($AS55:AT55,$BC55:BD55)</f>
        <v>4.2121876044039581</v>
      </c>
      <c r="BO55" s="42">
        <f>INTERCEPT($AS55:AU55,$BC55:BE55)</f>
        <v>4.219224903142587</v>
      </c>
      <c r="BP55" s="42">
        <f>INTERCEPT($AS55:AV55,$BC55:BF55)</f>
        <v>4.1739427992348386</v>
      </c>
      <c r="BQ55" s="42">
        <f>INTERCEPT($AS55:AW55,$BC55:BG55)</f>
        <v>4.1331543097310099</v>
      </c>
      <c r="BR55" s="42">
        <f>INTERCEPT($AS55:AX55,$BC55:BH55)</f>
        <v>4.1331543097310099</v>
      </c>
      <c r="BS55" s="42">
        <f>INTERCEPT($AS55:AY55,$BC55:BI55)</f>
        <v>4.1331543097310099</v>
      </c>
      <c r="BT55" s="42">
        <f>INTERCEPT($AS55:AZ55,$BC55:BJ55)</f>
        <v>4.1331543097310099</v>
      </c>
      <c r="BU55" s="42">
        <f>INTERCEPT($AS55:BA55,$BC55:BK55)</f>
        <v>4.1331543097310099</v>
      </c>
      <c r="BX55" s="42">
        <f t="shared" si="19"/>
        <v>-5.1126572953835492E-2</v>
      </c>
      <c r="BY55" s="42">
        <f t="shared" si="20"/>
        <v>-5.4449741802632574E-2</v>
      </c>
      <c r="BZ55" s="42">
        <f t="shared" si="54"/>
        <v>-4.593515816185937E-2</v>
      </c>
      <c r="CA55" s="42">
        <f t="shared" si="25"/>
        <v>-4.0516761032199387E-2</v>
      </c>
      <c r="CB55" s="42" t="str">
        <f t="shared" si="26"/>
        <v/>
      </c>
      <c r="CC55" s="42" t="str">
        <f t="shared" si="21"/>
        <v/>
      </c>
      <c r="CD55" s="42" t="str">
        <f t="shared" si="22"/>
        <v/>
      </c>
      <c r="CE55" s="42" t="str">
        <f t="shared" si="23"/>
        <v/>
      </c>
      <c r="CH55" s="42">
        <f>IF(S55&gt;0,((4-BN55)/(SLOPE($AS55:AT55, $BC55:BD55))),"")</f>
        <v>4.1502411005633402</v>
      </c>
      <c r="CI55" s="42">
        <f>IF(T55&gt;0,((4-BO55)/(SLOPE($AS55:AU55, $BC55:BE55))),"")</f>
        <v>4.0261881119147525</v>
      </c>
      <c r="CJ55" s="42">
        <f>IF(U55&gt;0,((4-BP55)/(SLOPE($AS55:AV55, $BC55:BF55))),"")</f>
        <v>3.7867029568489832</v>
      </c>
      <c r="CK55" s="42">
        <f>IF(V55&gt;0,((4-BQ55)/(SLOPE($AS55:AW55, $BC55:BG55))),"")</f>
        <v>3.2864006484918638</v>
      </c>
      <c r="CL55" s="42" t="str">
        <f>IF(W55&gt;0,((4-BR55)/(SLOPE($AS55:AX55, $BC55:BH55))),"")</f>
        <v/>
      </c>
      <c r="CM55" s="42" t="str">
        <f>IF(X55&gt;0,((4-BS55)/(SLOPE($AS55:AY55, $BC55:BI55))),"")</f>
        <v/>
      </c>
      <c r="CN55" s="42" t="str">
        <f>IF(Y55&gt;0,((4-BT55)/(SLOPE($AS55:AZ55, $BC55:BJ55))),"")</f>
        <v/>
      </c>
      <c r="CO55" s="42" t="str">
        <f>IF(Z55&gt;0,((4-BU55)/(SLOPE($AS55:BA55, $BC55:BK55))),"")</f>
        <v/>
      </c>
    </row>
    <row r="56" spans="1:93">
      <c r="A56" s="42">
        <v>40</v>
      </c>
      <c r="B56" s="123" t="s">
        <v>613</v>
      </c>
      <c r="C56" s="79" t="s">
        <v>132</v>
      </c>
      <c r="D56" s="64" t="s">
        <v>497</v>
      </c>
      <c r="E56" s="45" t="s">
        <v>61</v>
      </c>
      <c r="F56" s="52" t="s">
        <v>63</v>
      </c>
      <c r="G56" s="52"/>
      <c r="H56" s="52" t="s">
        <v>136</v>
      </c>
      <c r="I56" s="52" t="s">
        <v>590</v>
      </c>
      <c r="J56" s="62" t="s">
        <v>544</v>
      </c>
      <c r="K56" s="62"/>
      <c r="M56" s="72" cm="1">
        <f t="array" ref="M56">LOOKUP(2,1/(ISNUMBER(BX56:CE56)),BX56:CE56)</f>
        <v>-2.7233349549460058E-2</v>
      </c>
      <c r="N56" s="72" cm="1">
        <f t="array" ref="N56">LOOKUP(2,1/(ISNUMBER(CH56:CO56)),CH56:CO56)</f>
        <v>61.828025671696352</v>
      </c>
      <c r="O56" s="67">
        <v>38666666666.666672</v>
      </c>
      <c r="P56" s="67">
        <v>769800358.91950095</v>
      </c>
      <c r="Q56" s="59">
        <f t="shared" si="32"/>
        <v>1.8734476688017212</v>
      </c>
      <c r="R56" s="60">
        <v>459000</v>
      </c>
      <c r="S56" s="78">
        <v>288000</v>
      </c>
      <c r="T56" s="78">
        <v>215000</v>
      </c>
      <c r="U56" s="78">
        <v>128933.33333333331</v>
      </c>
      <c r="V56" s="68">
        <v>73599.999999999985</v>
      </c>
      <c r="W56" s="68"/>
      <c r="X56" s="68"/>
      <c r="Y56" s="68"/>
      <c r="Z56" s="68"/>
      <c r="AA56" s="68"/>
      <c r="AB56" s="68"/>
      <c r="AC56" s="68"/>
      <c r="AD56" s="68"/>
      <c r="AE56" s="68">
        <v>22528.204544525957</v>
      </c>
      <c r="AF56" s="68"/>
      <c r="AG56" s="68"/>
      <c r="AH56" s="68"/>
      <c r="AI56" s="68"/>
      <c r="AJ56" s="61">
        <v>45000</v>
      </c>
      <c r="AK56" s="61">
        <v>45009</v>
      </c>
      <c r="AL56" s="69">
        <v>45013</v>
      </c>
      <c r="AM56" s="69">
        <v>45022</v>
      </c>
      <c r="AN56" s="69">
        <v>45029</v>
      </c>
      <c r="AO56" s="69"/>
      <c r="AP56" s="69"/>
      <c r="AQ56" s="69"/>
      <c r="AR56" s="69"/>
      <c r="AS56" s="42">
        <f t="shared" si="27"/>
        <v>5.661812685537261</v>
      </c>
      <c r="AT56" s="42">
        <f t="shared" si="28"/>
        <v>5.4593924877592306</v>
      </c>
      <c r="AU56" s="42">
        <f t="shared" si="29"/>
        <v>5.3324384599156049</v>
      </c>
      <c r="AV56" s="42">
        <f t="shared" si="57"/>
        <v>5.1103652106913016</v>
      </c>
      <c r="AW56" s="42">
        <f t="shared" si="55"/>
        <v>4.8668778143374984</v>
      </c>
      <c r="AX56" s="42" t="str">
        <f t="shared" si="56"/>
        <v/>
      </c>
      <c r="AY56" s="42" t="str">
        <f t="shared" si="58"/>
        <v/>
      </c>
      <c r="AZ56" s="42" t="str">
        <f t="shared" si="59"/>
        <v/>
      </c>
      <c r="BA56" s="42" t="str">
        <f t="shared" si="60"/>
        <v/>
      </c>
      <c r="BC56" s="42">
        <f t="shared" si="34"/>
        <v>0</v>
      </c>
      <c r="BD56" s="42">
        <f t="shared" si="41"/>
        <v>9</v>
      </c>
      <c r="BE56" s="42">
        <f t="shared" si="35"/>
        <v>13</v>
      </c>
      <c r="BF56" s="42">
        <f t="shared" si="36"/>
        <v>22</v>
      </c>
      <c r="BG56" s="42">
        <f t="shared" si="37"/>
        <v>29</v>
      </c>
      <c r="BH56" s="42" t="str">
        <f t="shared" si="10"/>
        <v/>
      </c>
      <c r="BI56" s="42" t="str">
        <f t="shared" si="38"/>
        <v/>
      </c>
      <c r="BJ56" s="42" t="str">
        <f t="shared" si="39"/>
        <v/>
      </c>
      <c r="BK56" s="42" t="str">
        <f t="shared" si="40"/>
        <v/>
      </c>
      <c r="BN56" s="42">
        <f>INTERCEPT($AS56:AT56,$BC56:BD56)</f>
        <v>5.661812685537261</v>
      </c>
      <c r="BO56" s="42">
        <f>INTERCEPT($AS56:AU56,$BC56:BE56)</f>
        <v>5.6668187826723067</v>
      </c>
      <c r="BP56" s="42">
        <f>INTERCEPT($AS56:AV56,$BC56:BF56)</f>
        <v>5.6690747432515334</v>
      </c>
      <c r="BQ56" s="42">
        <f>INTERCEPT($AS56:AW56,$BC56:BG56)</f>
        <v>5.6837842350702967</v>
      </c>
      <c r="BR56" s="42">
        <f>INTERCEPT($AS56:AX56,$BC56:BH56)</f>
        <v>5.6837842350702967</v>
      </c>
      <c r="BS56" s="42">
        <f>INTERCEPT($AS56:AY56,$BC56:BI56)</f>
        <v>5.6837842350702967</v>
      </c>
      <c r="BT56" s="42">
        <f>INTERCEPT($AS56:AZ56,$BC56:BJ56)</f>
        <v>5.6837842350702967</v>
      </c>
      <c r="BU56" s="42">
        <f>INTERCEPT($AS56:BA56,$BC56:BK56)</f>
        <v>5.6837842350702967</v>
      </c>
      <c r="BX56" s="42">
        <f t="shared" si="19"/>
        <v>-2.2491133086447828E-2</v>
      </c>
      <c r="BY56" s="42">
        <f t="shared" si="20"/>
        <v>-2.4855123400219198E-2</v>
      </c>
      <c r="BZ56" s="42">
        <f t="shared" si="54"/>
        <v>-2.5279321115971223E-2</v>
      </c>
      <c r="CA56" s="42">
        <f t="shared" si="25"/>
        <v>-2.7233349549460058E-2</v>
      </c>
      <c r="CB56" s="42" t="str">
        <f t="shared" si="26"/>
        <v/>
      </c>
      <c r="CC56" s="42" t="str">
        <f t="shared" si="21"/>
        <v/>
      </c>
      <c r="CD56" s="42" t="str">
        <f t="shared" si="22"/>
        <v/>
      </c>
      <c r="CE56" s="42" t="str">
        <f t="shared" si="23"/>
        <v/>
      </c>
      <c r="CH56" s="42">
        <f>IF(S56&gt;0,((4-BN56)/(SLOPE($AS56:AT56, $BC56:BD56))),"")</f>
        <v>73.887459522374911</v>
      </c>
      <c r="CI56" s="42">
        <f>IF(T56&gt;0,((4-BO56)/(SLOPE($AS56:AU56, $BC56:BE56))),"")</f>
        <v>67.061376273738674</v>
      </c>
      <c r="CJ56" s="42">
        <f>IF(U56&gt;0,((4-BP56)/(SLOPE($AS56:AV56, $BC56:BF56))),"")</f>
        <v>66.025299318541769</v>
      </c>
      <c r="CK56" s="42">
        <f>IF(V56&gt;0,((4-BQ56)/(SLOPE($AS56:AW56, $BC56:BG56))),"")</f>
        <v>61.828025671696352</v>
      </c>
      <c r="CL56" s="42" t="str">
        <f>IF(W56&gt;0,((4-BR56)/(SLOPE($AS56:AX56, $BC56:BH56))),"")</f>
        <v/>
      </c>
      <c r="CM56" s="42" t="str">
        <f>IF(X56&gt;0,((4-BS56)/(SLOPE($AS56:AY56, $BC56:BI56))),"")</f>
        <v/>
      </c>
      <c r="CN56" s="42" t="str">
        <f>IF(Y56&gt;0,((4-BT56)/(SLOPE($AS56:AZ56, $BC56:BJ56))),"")</f>
        <v/>
      </c>
      <c r="CO56" s="42" t="str">
        <f>IF(Z56&gt;0,((4-BU56)/(SLOPE($AS56:BA56, $BC56:BK56))),"")</f>
        <v/>
      </c>
    </row>
    <row r="57" spans="1:93">
      <c r="A57" s="42">
        <v>44</v>
      </c>
      <c r="B57" s="123" t="s">
        <v>613</v>
      </c>
      <c r="C57" s="46" t="s">
        <v>142</v>
      </c>
      <c r="D57" s="64" t="s">
        <v>615</v>
      </c>
      <c r="E57" s="45" t="s">
        <v>61</v>
      </c>
      <c r="F57" s="52" t="s">
        <v>63</v>
      </c>
      <c r="G57" s="52"/>
      <c r="H57" s="52" t="s">
        <v>145</v>
      </c>
      <c r="I57" s="52" t="s">
        <v>463</v>
      </c>
      <c r="J57" s="62" t="s">
        <v>593</v>
      </c>
      <c r="K57" s="46">
        <v>21</v>
      </c>
      <c r="L57" s="46">
        <v>8</v>
      </c>
      <c r="M57" s="72" cm="1">
        <f t="array" ref="M57">LOOKUP(2,1/(ISNUMBER(BX57:CE57)),BX57:CE57)</f>
        <v>-3.2776061643432004E-2</v>
      </c>
      <c r="N57" s="72" cm="1">
        <f t="array" ref="N57">LOOKUP(2,1/(ISNUMBER(CH57:CO57)),CH57:CO57)</f>
        <v>22.670392723607289</v>
      </c>
      <c r="O57" s="67">
        <v>2973333333.3333335</v>
      </c>
      <c r="P57" s="67">
        <v>60123330.037638597</v>
      </c>
      <c r="Q57" s="59">
        <f t="shared" si="32"/>
        <v>1.6547543723757876</v>
      </c>
      <c r="R57" s="60">
        <v>58400</v>
      </c>
      <c r="S57" s="68">
        <v>28900</v>
      </c>
      <c r="T57" s="68">
        <v>17600</v>
      </c>
      <c r="U57" s="78">
        <v>11266.666666666664</v>
      </c>
      <c r="V57" s="68">
        <v>6279.9999999999991</v>
      </c>
      <c r="W57" s="68"/>
      <c r="X57" s="68"/>
      <c r="Y57" s="68"/>
      <c r="Z57" s="68"/>
      <c r="AA57" s="68"/>
      <c r="AB57" s="68"/>
      <c r="AC57" s="68"/>
      <c r="AD57" s="68"/>
      <c r="AE57" s="68">
        <v>1466.4242223858687</v>
      </c>
      <c r="AF57" s="68"/>
      <c r="AG57" s="68"/>
      <c r="AH57" s="68"/>
      <c r="AI57" s="68"/>
      <c r="AJ57" s="61">
        <v>45000</v>
      </c>
      <c r="AK57" s="61">
        <v>45009</v>
      </c>
      <c r="AL57" s="69">
        <v>45013</v>
      </c>
      <c r="AM57" s="69">
        <v>45022</v>
      </c>
      <c r="AN57" s="69">
        <v>45029</v>
      </c>
      <c r="AO57" s="69"/>
      <c r="AP57" s="69"/>
      <c r="AQ57" s="69"/>
      <c r="AR57" s="69"/>
      <c r="AS57" s="42">
        <f t="shared" ref="AS57:AS86" si="61">IF(R57&gt;0,(LOG(R57)),"")</f>
        <v>4.7664128471123997</v>
      </c>
      <c r="AT57" s="42">
        <f t="shared" ref="AT57:AT86" si="62">IF(S57&gt;0,(LOG(S57)),"")</f>
        <v>4.4608978427565482</v>
      </c>
      <c r="AU57" s="42">
        <f t="shared" ref="AU57:AU86" si="63">IF(T57&gt;0,(LOG(T57)),"")</f>
        <v>4.2455126678141495</v>
      </c>
      <c r="AV57" s="42">
        <f t="shared" si="57"/>
        <v>4.0517954455579925</v>
      </c>
      <c r="AW57" s="42">
        <f t="shared" si="55"/>
        <v>3.7979596437371961</v>
      </c>
      <c r="AX57" s="42" t="str">
        <f t="shared" si="56"/>
        <v/>
      </c>
      <c r="AY57" s="42" t="str">
        <f t="shared" si="58"/>
        <v/>
      </c>
      <c r="AZ57" s="42" t="str">
        <f t="shared" si="59"/>
        <v/>
      </c>
      <c r="BA57" s="42" t="str">
        <f t="shared" si="60"/>
        <v/>
      </c>
      <c r="BC57" s="42">
        <f t="shared" si="34"/>
        <v>0</v>
      </c>
      <c r="BD57" s="42">
        <f t="shared" si="41"/>
        <v>9</v>
      </c>
      <c r="BE57" s="42">
        <f t="shared" si="35"/>
        <v>13</v>
      </c>
      <c r="BF57" s="42">
        <f t="shared" si="36"/>
        <v>22</v>
      </c>
      <c r="BG57" s="42">
        <f t="shared" si="37"/>
        <v>29</v>
      </c>
      <c r="BH57" s="42" t="str">
        <f t="shared" si="10"/>
        <v/>
      </c>
      <c r="BI57" s="42" t="str">
        <f t="shared" si="38"/>
        <v/>
      </c>
      <c r="BJ57" s="42" t="str">
        <f t="shared" si="39"/>
        <v/>
      </c>
      <c r="BK57" s="42" t="str">
        <f t="shared" si="40"/>
        <v/>
      </c>
      <c r="BN57" s="42">
        <f>INTERCEPT($AS57:AT57,$BC57:BD57)</f>
        <v>4.7664128471123988</v>
      </c>
      <c r="BO57" s="42">
        <f>INTERCEPT($AS57:AU57,$BC57:BE57)</f>
        <v>4.7771858780456053</v>
      </c>
      <c r="BP57" s="42">
        <f>INTERCEPT($AS57:AV57,$BC57:BF57)</f>
        <v>4.7459834185575369</v>
      </c>
      <c r="BQ57" s="42">
        <f>INTERCEPT($AS57:AW57,$BC57:BG57)</f>
        <v>4.7430461893897649</v>
      </c>
      <c r="BR57" s="42">
        <f>INTERCEPT($AS57:AX57,$BC57:BH57)</f>
        <v>4.7430461893897649</v>
      </c>
      <c r="BS57" s="42">
        <f>INTERCEPT($AS57:AY57,$BC57:BI57)</f>
        <v>4.7430461893897649</v>
      </c>
      <c r="BT57" s="42">
        <f>INTERCEPT($AS57:AZ57,$BC57:BJ57)</f>
        <v>4.7430461893897649</v>
      </c>
      <c r="BU57" s="42">
        <f>INTERCEPT($AS57:BA57,$BC57:BK57)</f>
        <v>4.7430461893897649</v>
      </c>
      <c r="BX57" s="42">
        <f t="shared" si="19"/>
        <v>-3.3946111595094607E-2</v>
      </c>
      <c r="BY57" s="42">
        <f t="shared" si="20"/>
        <v>-3.9033376202441773E-2</v>
      </c>
      <c r="BZ57" s="42">
        <f t="shared" si="54"/>
        <v>-3.31662470679331E-2</v>
      </c>
      <c r="CA57" s="42">
        <f t="shared" si="25"/>
        <v>-3.2776061643432004E-2</v>
      </c>
      <c r="CB57" s="42" t="str">
        <f t="shared" si="26"/>
        <v/>
      </c>
      <c r="CC57" s="42" t="str">
        <f t="shared" si="21"/>
        <v/>
      </c>
      <c r="CD57" s="42" t="str">
        <f t="shared" si="22"/>
        <v/>
      </c>
      <c r="CE57" s="42" t="str">
        <f t="shared" si="23"/>
        <v/>
      </c>
      <c r="CH57" s="42">
        <f>IF(S57&gt;0,((4-BN57)/(SLOPE($AS57:AT57, $BC57:BD57))),"")</f>
        <v>22.577338348912679</v>
      </c>
      <c r="CI57" s="42">
        <f>IF(T57&gt;0,((4-BO57)/(SLOPE($AS57:AU57, $BC57:BE57))),"")</f>
        <v>19.910803360048256</v>
      </c>
      <c r="CJ57" s="42">
        <f>IF(U57&gt;0,((4-BP57)/(SLOPE($AS57:AV57, $BC57:BF57))),"")</f>
        <v>22.492246922890278</v>
      </c>
      <c r="CK57" s="42">
        <f>IF(V57&gt;0,((4-BQ57)/(SLOPE($AS57:AW57, $BC57:BG57))),"")</f>
        <v>22.670392723607289</v>
      </c>
      <c r="CL57" s="42" t="str">
        <f>IF(W57&gt;0,((4-BR57)/(SLOPE($AS57:AX57, $BC57:BH57))),"")</f>
        <v/>
      </c>
      <c r="CM57" s="42" t="str">
        <f>IF(X57&gt;0,((4-BS57)/(SLOPE($AS57:AY57, $BC57:BI57))),"")</f>
        <v/>
      </c>
      <c r="CN57" s="42" t="str">
        <f>IF(Y57&gt;0,((4-BT57)/(SLOPE($AS57:AZ57, $BC57:BJ57))),"")</f>
        <v/>
      </c>
      <c r="CO57" s="42" t="str">
        <f>IF(Z57&gt;0,((4-BU57)/(SLOPE($AS57:BA57, $BC57:BK57))),"")</f>
        <v/>
      </c>
    </row>
    <row r="58" spans="1:93">
      <c r="A58" s="42">
        <v>48</v>
      </c>
      <c r="B58" s="123" t="s">
        <v>613</v>
      </c>
      <c r="C58" s="128" t="s">
        <v>142</v>
      </c>
      <c r="D58" s="64" t="s">
        <v>500</v>
      </c>
      <c r="E58" s="45" t="s">
        <v>61</v>
      </c>
      <c r="F58" s="52" t="s">
        <v>63</v>
      </c>
      <c r="G58" s="52"/>
      <c r="H58" s="52" t="s">
        <v>145</v>
      </c>
      <c r="I58" s="52" t="s">
        <v>463</v>
      </c>
      <c r="J58" s="62" t="s">
        <v>544</v>
      </c>
      <c r="K58" s="62"/>
      <c r="M58" s="72" cm="1">
        <f t="array" ref="M58">LOOKUP(2,1/(ISNUMBER(BX58:CE58)),BX58:CE58)</f>
        <v>-3.2034267296229581E-2</v>
      </c>
      <c r="N58" s="72" cm="1">
        <f t="array" ref="N58">LOOKUP(2,1/(ISNUMBER(CH58:CO58)),CH58:CO58)</f>
        <v>52.647320229439323</v>
      </c>
      <c r="O58" s="67">
        <v>27866666666.666668</v>
      </c>
      <c r="P58" s="67">
        <v>828206451.27040982</v>
      </c>
      <c r="Q58" s="59">
        <f t="shared" si="32"/>
        <v>1.7446486315701488</v>
      </c>
      <c r="R58" s="60">
        <v>445000</v>
      </c>
      <c r="S58" s="78">
        <v>329000</v>
      </c>
      <c r="T58" s="78">
        <v>148000</v>
      </c>
      <c r="U58" s="78">
        <v>106666.66666666664</v>
      </c>
      <c r="V58" s="68">
        <v>53733.333333333321</v>
      </c>
      <c r="W58" s="68"/>
      <c r="X58" s="68"/>
      <c r="Y58" s="68"/>
      <c r="Z58" s="68"/>
      <c r="AA58" s="68"/>
      <c r="AB58" s="68"/>
      <c r="AC58" s="68"/>
      <c r="AD58" s="68"/>
      <c r="AE58" s="68">
        <v>2809.5076674273969</v>
      </c>
      <c r="AF58" s="68"/>
      <c r="AG58" s="68"/>
      <c r="AH58" s="68"/>
      <c r="AI58" s="68"/>
      <c r="AJ58" s="61">
        <v>45000</v>
      </c>
      <c r="AK58" s="61">
        <v>45009</v>
      </c>
      <c r="AL58" s="69">
        <v>45013</v>
      </c>
      <c r="AM58" s="69">
        <v>45022</v>
      </c>
      <c r="AN58" s="69">
        <v>45029</v>
      </c>
      <c r="AO58" s="69"/>
      <c r="AP58" s="69"/>
      <c r="AQ58" s="69"/>
      <c r="AR58" s="69"/>
      <c r="AS58" s="42">
        <f t="shared" si="61"/>
        <v>5.648360010980932</v>
      </c>
      <c r="AT58" s="42">
        <f t="shared" si="62"/>
        <v>5.517195897949974</v>
      </c>
      <c r="AU58" s="42">
        <f t="shared" si="63"/>
        <v>5.1702617153949575</v>
      </c>
      <c r="AV58" s="42">
        <f t="shared" si="57"/>
        <v>5.0280287236002437</v>
      </c>
      <c r="AW58" s="42">
        <f t="shared" si="55"/>
        <v>4.730243782749409</v>
      </c>
      <c r="AX58" s="42" t="str">
        <f t="shared" si="56"/>
        <v/>
      </c>
      <c r="AY58" s="42" t="str">
        <f t="shared" si="58"/>
        <v/>
      </c>
      <c r="AZ58" s="42" t="str">
        <f t="shared" si="59"/>
        <v/>
      </c>
      <c r="BA58" s="42" t="str">
        <f t="shared" si="60"/>
        <v/>
      </c>
      <c r="BC58" s="42">
        <f t="shared" si="34"/>
        <v>0</v>
      </c>
      <c r="BD58" s="42">
        <f t="shared" si="41"/>
        <v>9</v>
      </c>
      <c r="BE58" s="42">
        <f t="shared" si="35"/>
        <v>13</v>
      </c>
      <c r="BF58" s="42">
        <f t="shared" si="36"/>
        <v>22</v>
      </c>
      <c r="BG58" s="42">
        <f t="shared" si="37"/>
        <v>29</v>
      </c>
      <c r="BH58" s="42" t="str">
        <f t="shared" si="10"/>
        <v/>
      </c>
      <c r="BN58" s="42">
        <f>INTERCEPT($AS58:AT58,$BC58:BD58)</f>
        <v>5.648360010980932</v>
      </c>
      <c r="BO58" s="42">
        <f>INTERCEPT($AS58:AU58,$BC58:BE58)</f>
        <v>5.6874239386632075</v>
      </c>
      <c r="BP58" s="42">
        <f>INTERCEPT($AS58:AV58,$BC58:BF58)</f>
        <v>5.671732138138621</v>
      </c>
      <c r="BQ58" s="42">
        <f>INTERCEPT($AS58:AW58,$BC58:BG58)</f>
        <v>5.6865183286600542</v>
      </c>
      <c r="BR58" s="42">
        <f>INTERCEPT($AS58:AX58,$BC58:BH58)</f>
        <v>5.6865183286600542</v>
      </c>
      <c r="BS58" s="42">
        <f>INTERCEPT($AS58:AY58,$BC58:BI58)</f>
        <v>5.6865183286600542</v>
      </c>
      <c r="BT58" s="42">
        <f>INTERCEPT($AS58:AZ58,$BC58:BJ58)</f>
        <v>5.6865183286600542</v>
      </c>
      <c r="BU58" s="42">
        <f>INTERCEPT($AS58:BA58,$BC58:BK58)</f>
        <v>5.6865183286600542</v>
      </c>
      <c r="BX58" s="42">
        <f t="shared" si="19"/>
        <v>-1.4573790336773109E-2</v>
      </c>
      <c r="BY58" s="42">
        <f t="shared" si="20"/>
        <v>-3.3020645075625403E-2</v>
      </c>
      <c r="BZ58" s="42">
        <f t="shared" si="54"/>
        <v>-3.007005010519042E-2</v>
      </c>
      <c r="CA58" s="42">
        <f t="shared" si="25"/>
        <v>-3.2034267296229581E-2</v>
      </c>
      <c r="CB58" s="42" t="str">
        <f t="shared" si="26"/>
        <v/>
      </c>
      <c r="CC58" s="42" t="str">
        <f t="shared" si="21"/>
        <v/>
      </c>
      <c r="CD58" s="42" t="str">
        <f t="shared" si="22"/>
        <v/>
      </c>
      <c r="CE58" s="42" t="str">
        <f t="shared" si="23"/>
        <v/>
      </c>
      <c r="CH58" s="42">
        <f>IF(S58&gt;0,((4-BN58)/(SLOPE($AS58:AT58, $BC58:BD58))),"")</f>
        <v>113.1044136693617</v>
      </c>
      <c r="CI58" s="42">
        <f>IF(T58&gt;0,((4-BO58)/(SLOPE($AS58:AU58, $BC58:BE58))),"")</f>
        <v>51.102088853763803</v>
      </c>
      <c r="CJ58" s="42">
        <f>IF(U58&gt;0,((4-BP58)/(SLOPE($AS58:AV58, $BC58:BF58))),"")</f>
        <v>55.594591039609263</v>
      </c>
      <c r="CK58" s="42">
        <f>IF(V58&gt;0,((4-BQ58)/(SLOPE($AS58:AW58, $BC58:BG58))),"")</f>
        <v>52.647320229439323</v>
      </c>
      <c r="CL58" s="42" t="str">
        <f>IF(W58&gt;0,((4-BR58)/(SLOPE($AS58:AX58, $BC58:BH58))),"")</f>
        <v/>
      </c>
      <c r="CM58" s="42" t="str">
        <f>IF(X58&gt;0,((4-BS58)/(SLOPE($AS58:AY58, $BC58:BI58))),"")</f>
        <v/>
      </c>
      <c r="CN58" s="42" t="str">
        <f>IF(Y58&gt;0,((4-BT58)/(SLOPE($AS58:AZ58, $BC58:BJ58))),"")</f>
        <v/>
      </c>
      <c r="CO58" s="42" t="str">
        <f>IF(Z58&gt;0,((4-BU58)/(SLOPE($AS58:BA58, $BC58:BK58))),"")</f>
        <v/>
      </c>
    </row>
    <row r="59" spans="1:93">
      <c r="A59" s="42">
        <v>46</v>
      </c>
      <c r="B59" s="123" t="s">
        <v>616</v>
      </c>
      <c r="C59" s="46" t="s">
        <v>142</v>
      </c>
      <c r="D59" s="62" t="s">
        <v>472</v>
      </c>
      <c r="E59" s="45" t="s">
        <v>61</v>
      </c>
      <c r="F59" s="52" t="s">
        <v>63</v>
      </c>
      <c r="G59" s="66"/>
      <c r="H59" s="52" t="s">
        <v>145</v>
      </c>
      <c r="I59" s="52" t="s">
        <v>463</v>
      </c>
      <c r="J59" s="62" t="s">
        <v>593</v>
      </c>
      <c r="K59" s="62">
        <v>21</v>
      </c>
      <c r="L59" s="62">
        <v>2</v>
      </c>
      <c r="M59" s="72" cm="1">
        <f t="array" ref="M59">LOOKUP(2,1/(ISNUMBER(BX59:CE59)),BX59:CE59)</f>
        <v>-2.0102995718442884E-2</v>
      </c>
      <c r="N59" s="72" cm="1">
        <f t="array" ref="N59">LOOKUP(2,1/(ISNUMBER(CH59:CO59)),CH59:CO59)</f>
        <v>74.02215000231125</v>
      </c>
      <c r="O59" s="67">
        <v>5370000000</v>
      </c>
      <c r="P59" s="67">
        <v>916515138.99116814</v>
      </c>
      <c r="Q59" s="59">
        <f t="shared" si="32"/>
        <v>1.1727479272113754</v>
      </c>
      <c r="R59" s="68">
        <v>320000</v>
      </c>
      <c r="S59" s="78">
        <v>236000</v>
      </c>
      <c r="T59" s="78">
        <v>129333.3333333333</v>
      </c>
      <c r="U59" s="78">
        <v>125333.33333333333</v>
      </c>
      <c r="V59" s="68">
        <v>73066.666666666657</v>
      </c>
      <c r="W59" s="78">
        <v>19977.320474311207</v>
      </c>
      <c r="X59" s="68"/>
      <c r="Y59" s="68"/>
      <c r="Z59" s="68"/>
      <c r="AA59" s="68"/>
      <c r="AB59" s="68"/>
      <c r="AC59" s="68"/>
      <c r="AD59" s="68">
        <v>36295.086903509844</v>
      </c>
      <c r="AE59" s="68"/>
      <c r="AF59" s="68"/>
      <c r="AG59" s="68"/>
      <c r="AH59" s="68"/>
      <c r="AI59" s="68"/>
      <c r="AJ59" s="69">
        <v>45007</v>
      </c>
      <c r="AK59" s="69">
        <v>45014</v>
      </c>
      <c r="AL59" s="69">
        <v>45021</v>
      </c>
      <c r="AM59" s="69">
        <v>45029</v>
      </c>
      <c r="AN59" s="69"/>
      <c r="AO59" s="69"/>
      <c r="AP59" s="69"/>
      <c r="AQ59" s="69"/>
      <c r="AR59" s="69"/>
      <c r="AS59" s="42">
        <f t="shared" si="61"/>
        <v>5.5051499783199063</v>
      </c>
      <c r="AT59" s="42">
        <f t="shared" si="62"/>
        <v>5.3729120029701063</v>
      </c>
      <c r="AU59" s="42">
        <f t="shared" si="63"/>
        <v>5.1117104708745451</v>
      </c>
      <c r="AV59" s="42">
        <f t="shared" si="57"/>
        <v>5.0980665902079982</v>
      </c>
      <c r="AW59" s="42">
        <f t="shared" si="55"/>
        <v>4.8637192950926691</v>
      </c>
      <c r="AX59" s="42">
        <f t="shared" si="56"/>
        <v>4.3005372365796486</v>
      </c>
      <c r="AY59" s="42" t="str">
        <f t="shared" si="58"/>
        <v/>
      </c>
      <c r="AZ59" s="42" t="str">
        <f t="shared" si="59"/>
        <v/>
      </c>
      <c r="BA59" s="42" t="str">
        <f t="shared" si="60"/>
        <v/>
      </c>
      <c r="BC59" s="42">
        <f t="shared" si="34"/>
        <v>0</v>
      </c>
      <c r="BD59" s="42">
        <f t="shared" si="41"/>
        <v>7</v>
      </c>
      <c r="BE59" s="42">
        <f t="shared" si="35"/>
        <v>14</v>
      </c>
      <c r="BF59" s="42">
        <f t="shared" si="36"/>
        <v>22</v>
      </c>
      <c r="BG59" s="42" t="str">
        <f t="shared" si="37"/>
        <v/>
      </c>
      <c r="BH59" s="42" t="str">
        <f t="shared" si="10"/>
        <v/>
      </c>
      <c r="BI59" s="42" t="str">
        <f t="shared" ref="BI59:BK59" si="64">IF(AP59&gt;1,(AP59-$AJ59),"")</f>
        <v/>
      </c>
      <c r="BJ59" s="42" t="str">
        <f t="shared" si="64"/>
        <v/>
      </c>
      <c r="BK59" s="42" t="str">
        <f t="shared" si="64"/>
        <v/>
      </c>
      <c r="BN59" s="42">
        <f>INTERCEPT($AS59:AT59,$BC59:BD59)</f>
        <v>5.5051499783199063</v>
      </c>
      <c r="BO59" s="42">
        <f>INTERCEPT($AS59:AU59,$BC59:BE59)</f>
        <v>5.5266439044442004</v>
      </c>
      <c r="BP59" s="42">
        <f>INTERCEPT($AS59:AV59,$BC59:BF59)</f>
        <v>5.4880669645664</v>
      </c>
      <c r="BQ59" s="42">
        <f>INTERCEPT($AS59:AW59,$BC59:BG59)</f>
        <v>5.4880669645664</v>
      </c>
      <c r="BR59" s="42">
        <f>INTERCEPT($AS59:AX59,$BC59:BH59)</f>
        <v>5.4880669645664</v>
      </c>
      <c r="BS59" s="42">
        <f>INTERCEPT($AS59:AY59,$BC59:BI59)</f>
        <v>5.4880669645664</v>
      </c>
      <c r="BT59" s="42">
        <f>INTERCEPT($AS59:AZ59,$BC59:BJ59)</f>
        <v>5.4880669645664</v>
      </c>
      <c r="BU59" s="42">
        <f>INTERCEPT($AS59:BA59,$BC59:BK59)</f>
        <v>5.4880669645664</v>
      </c>
      <c r="BX59" s="42">
        <f t="shared" si="19"/>
        <v>-1.889113933568571E-2</v>
      </c>
      <c r="BY59" s="42">
        <f t="shared" si="20"/>
        <v>-2.810282196038294E-2</v>
      </c>
      <c r="BZ59" s="42">
        <f t="shared" si="54"/>
        <v>-2.0102995718442884E-2</v>
      </c>
      <c r="CA59" s="42">
        <f t="shared" si="25"/>
        <v>-2.0102995718442884E-2</v>
      </c>
      <c r="CB59" s="42">
        <f t="shared" si="26"/>
        <v>-2.0102995718442884E-2</v>
      </c>
      <c r="CC59" s="42" t="str">
        <f t="shared" si="21"/>
        <v/>
      </c>
      <c r="CD59" s="42" t="str">
        <f t="shared" si="22"/>
        <v/>
      </c>
      <c r="CE59" s="42" t="str">
        <f t="shared" si="23"/>
        <v/>
      </c>
      <c r="CH59" s="42">
        <f>IF(S59&gt;0,((4-BN59)/(SLOPE($AS59:AT59, $BC59:BD59))),"")</f>
        <v>79.674918043542789</v>
      </c>
      <c r="CI59" s="42">
        <f>IF(T59&gt;0,((4-BO59)/(SLOPE($AS59:AU59, $BC59:BE59))),"")</f>
        <v>54.323509097995142</v>
      </c>
      <c r="CJ59" s="42">
        <f>IF(U59&gt;0,((4-BP59)/(SLOPE($AS59:AV59, $BC59:BF59))),"")</f>
        <v>74.02215000231125</v>
      </c>
      <c r="CK59" s="42">
        <f>IF(V59&gt;0,((4-BQ59)/(SLOPE($AS59:AW59, $BC59:BG59))),"")</f>
        <v>74.02215000231125</v>
      </c>
      <c r="CL59" s="42">
        <f>IF(W59&gt;0,((4-BR59)/(SLOPE($AS59:AX59, $BC59:BH59))),"")</f>
        <v>74.02215000231125</v>
      </c>
      <c r="CM59" s="42" t="str">
        <f>IF(X59&gt;0,((4-BS59)/(SLOPE($AS59:AY59, $BC59:BI59))),"")</f>
        <v/>
      </c>
      <c r="CN59" s="42" t="str">
        <f>IF(Y59&gt;0,((4-BT59)/(SLOPE($AS59:AZ59, $BC59:BJ59))),"")</f>
        <v/>
      </c>
      <c r="CO59" s="42" t="str">
        <f>IF(Z59&gt;0,((4-BU59)/(SLOPE($AS59:BA59, $BC59:BK59))),"")</f>
        <v/>
      </c>
    </row>
    <row r="60" spans="1:93">
      <c r="A60" s="42">
        <v>47</v>
      </c>
      <c r="B60" s="123" t="s">
        <v>616</v>
      </c>
      <c r="C60" s="46" t="s">
        <v>142</v>
      </c>
      <c r="D60" s="62" t="s">
        <v>473</v>
      </c>
      <c r="E60" s="45" t="s">
        <v>61</v>
      </c>
      <c r="F60" s="52" t="s">
        <v>63</v>
      </c>
      <c r="G60" s="66"/>
      <c r="H60" s="52" t="s">
        <v>145</v>
      </c>
      <c r="I60" s="52" t="s">
        <v>463</v>
      </c>
      <c r="J60" s="62" t="s">
        <v>593</v>
      </c>
      <c r="K60" s="62">
        <v>21</v>
      </c>
      <c r="L60" s="62">
        <v>2</v>
      </c>
      <c r="M60" s="72" cm="1">
        <f t="array" ref="M60">LOOKUP(2,1/(ISNUMBER(BX60:CE60)),BX60:CE60)</f>
        <v>-3.8252613702340947E-2</v>
      </c>
      <c r="N60" s="72" cm="1">
        <f t="array" ref="N60">LOOKUP(2,1/(ISNUMBER(CH60:CO60)),CH60:CO60)</f>
        <v>37.349243701422139</v>
      </c>
      <c r="O60" s="67">
        <v>4310000000</v>
      </c>
      <c r="P60" s="67">
        <v>1656412902.5408194</v>
      </c>
      <c r="Q60" s="59">
        <f t="shared" si="32"/>
        <v>1.1096444406752459</v>
      </c>
      <c r="R60" s="68">
        <v>297000</v>
      </c>
      <c r="S60" s="78">
        <v>140000</v>
      </c>
      <c r="T60" s="78">
        <v>63066.666666666657</v>
      </c>
      <c r="U60" s="78">
        <v>44799.999999999993</v>
      </c>
      <c r="V60" s="68">
        <v>35199.999999999993</v>
      </c>
      <c r="W60" s="78">
        <v>5642.6943918663537</v>
      </c>
      <c r="X60" s="68"/>
      <c r="Y60" s="68"/>
      <c r="Z60" s="68"/>
      <c r="AA60" s="68"/>
      <c r="AB60" s="68"/>
      <c r="AC60" s="68"/>
      <c r="AD60" s="68">
        <v>12818.736287169651</v>
      </c>
      <c r="AE60" s="68"/>
      <c r="AF60" s="68"/>
      <c r="AG60" s="68"/>
      <c r="AH60" s="68"/>
      <c r="AI60" s="68"/>
      <c r="AJ60" s="69">
        <v>45007</v>
      </c>
      <c r="AK60" s="69">
        <v>45014</v>
      </c>
      <c r="AL60" s="69">
        <v>45021</v>
      </c>
      <c r="AM60" s="69">
        <v>45029</v>
      </c>
      <c r="AN60" s="69"/>
      <c r="AO60" s="69"/>
      <c r="AP60" s="69"/>
      <c r="AQ60" s="69"/>
      <c r="AR60" s="69"/>
      <c r="AS60" s="42">
        <f t="shared" si="61"/>
        <v>5.4727564493172123</v>
      </c>
      <c r="AT60" s="42">
        <f t="shared" si="62"/>
        <v>5.1461280356782382</v>
      </c>
      <c r="AU60" s="42">
        <f t="shared" si="63"/>
        <v>4.7997998773461115</v>
      </c>
      <c r="AV60" s="42">
        <f t="shared" si="57"/>
        <v>4.6512780139981436</v>
      </c>
      <c r="AW60" s="42">
        <f t="shared" si="55"/>
        <v>4.5465426634781307</v>
      </c>
      <c r="AX60" s="42">
        <f t="shared" si="56"/>
        <v>3.7514865295328157</v>
      </c>
      <c r="AY60" s="42" t="str">
        <f t="shared" si="58"/>
        <v/>
      </c>
      <c r="AZ60" s="42" t="str">
        <f t="shared" si="59"/>
        <v/>
      </c>
      <c r="BA60" s="42" t="str">
        <f t="shared" si="60"/>
        <v/>
      </c>
      <c r="BC60" s="42">
        <f t="shared" si="34"/>
        <v>0</v>
      </c>
      <c r="BD60" s="42">
        <f t="shared" si="41"/>
        <v>7</v>
      </c>
      <c r="BE60" s="42">
        <f t="shared" si="35"/>
        <v>14</v>
      </c>
      <c r="BF60" s="42">
        <f t="shared" si="36"/>
        <v>22</v>
      </c>
      <c r="BG60" s="42" t="str">
        <f t="shared" si="37"/>
        <v/>
      </c>
      <c r="BH60" s="42" t="str">
        <f t="shared" si="10"/>
        <v/>
      </c>
      <c r="BN60" s="42">
        <f>INTERCEPT($AS60:AT60,$BC60:BD60)</f>
        <v>5.4727564493172132</v>
      </c>
      <c r="BO60" s="42">
        <f>INTERCEPT($AS60:AU60,$BC60:BE60)</f>
        <v>5.4760397400994041</v>
      </c>
      <c r="BP60" s="42">
        <f>INTERCEPT($AS60:AV60,$BC60:BF60)</f>
        <v>5.4287061913850918</v>
      </c>
      <c r="BQ60" s="42">
        <f>INTERCEPT($AS60:AW60,$BC60:BG60)</f>
        <v>5.4287061913850918</v>
      </c>
      <c r="BR60" s="42">
        <f>INTERCEPT($AS60:AX60,$BC60:BH60)</f>
        <v>5.4287061913850918</v>
      </c>
      <c r="BS60" s="42">
        <f>INTERCEPT($AS60:AY60,$BC60:BI60)</f>
        <v>5.4287061913850918</v>
      </c>
      <c r="BT60" s="42">
        <f>INTERCEPT($AS60:AZ60,$BC60:BJ60)</f>
        <v>5.4287061913850918</v>
      </c>
      <c r="BU60" s="42">
        <f>INTERCEPT($AS60:BA60,$BC60:BK60)</f>
        <v>5.4287061913850918</v>
      </c>
      <c r="BX60" s="42">
        <f t="shared" si="19"/>
        <v>-4.6661201948424873E-2</v>
      </c>
      <c r="BY60" s="42">
        <f t="shared" si="20"/>
        <v>-4.8068326569364342E-2</v>
      </c>
      <c r="BZ60" s="42">
        <f t="shared" si="54"/>
        <v>-3.8252613702340947E-2</v>
      </c>
      <c r="CA60" s="42">
        <f t="shared" si="25"/>
        <v>-3.8252613702340947E-2</v>
      </c>
      <c r="CB60" s="42">
        <f t="shared" si="26"/>
        <v>-3.8252613702340947E-2</v>
      </c>
      <c r="CC60" s="42" t="str">
        <f t="shared" si="21"/>
        <v/>
      </c>
      <c r="CD60" s="42" t="str">
        <f t="shared" si="22"/>
        <v/>
      </c>
      <c r="CE60" s="42" t="str">
        <f t="shared" si="23"/>
        <v/>
      </c>
      <c r="CH60" s="42">
        <f>IF(S60&gt;0,((4-BN60)/(SLOPE($AS60:AT60, $BC60:BD60))),"")</f>
        <v>31.562762805490237</v>
      </c>
      <c r="CI60" s="42" t="e">
        <f>IF(#REF!&gt;0,((4-BO60)/(SLOPE($AS60:AU60, $BC60:BE60))),"")</f>
        <v>#REF!</v>
      </c>
      <c r="CJ60" s="42" t="e">
        <f>IF(T60&gt;0,((4-BP60)/(SLOPE($AS60:AU60, $BC60:BF60))),"")</f>
        <v>#N/A</v>
      </c>
      <c r="CK60" s="42">
        <f>IF(V60&gt;0,((4-BQ60)/(SLOPE($AS60:AW60, $BC60:BG60))),"")</f>
        <v>37.349243701422139</v>
      </c>
      <c r="CL60" s="42">
        <f>IF(W60&gt;0,((4-BR60)/(SLOPE($AS60:AX60, $BC60:BH60))),"")</f>
        <v>37.349243701422139</v>
      </c>
      <c r="CM60" s="42" t="str">
        <f>IF(X60&gt;0,((4-BS60)/(SLOPE($AS60:AY60, $BC60:BI60))),"")</f>
        <v/>
      </c>
      <c r="CN60" s="42" t="str">
        <f>IF(Y60&gt;0,((4-BT60)/(SLOPE($AS60:AZ60, $BC60:BJ60))),"")</f>
        <v/>
      </c>
      <c r="CO60" s="42" t="str">
        <f>IF(Z60&gt;0,((4-BU60)/(SLOPE($AS60:BA60, $BC60:BK60))),"")</f>
        <v/>
      </c>
    </row>
    <row r="61" spans="1:93">
      <c r="A61" s="42">
        <v>49</v>
      </c>
      <c r="B61" s="123" t="s">
        <v>616</v>
      </c>
      <c r="C61" s="46" t="s">
        <v>142</v>
      </c>
      <c r="D61" s="62" t="s">
        <v>479</v>
      </c>
      <c r="E61" s="45" t="s">
        <v>61</v>
      </c>
      <c r="F61" s="52" t="s">
        <v>63</v>
      </c>
      <c r="G61" s="66"/>
      <c r="H61" s="52" t="s">
        <v>145</v>
      </c>
      <c r="I61" s="52" t="s">
        <v>463</v>
      </c>
      <c r="J61" s="62" t="s">
        <v>593</v>
      </c>
      <c r="K61" s="62">
        <v>21</v>
      </c>
      <c r="L61" s="62">
        <v>2</v>
      </c>
      <c r="M61" s="72" cm="1">
        <f t="array" ref="M61">LOOKUP(2,1/(ISNUMBER(BX61:CE61)),BX61:CE61)</f>
        <v>-2.5976224392494304E-2</v>
      </c>
      <c r="N61" s="72" cm="1">
        <f t="array" ref="N61">LOOKUP(2,1/(ISNUMBER(CH61:CO61)),CH61:CO61)</f>
        <v>64.893847141821411</v>
      </c>
      <c r="O61" s="67">
        <v>5820000000</v>
      </c>
      <c r="P61" s="67">
        <v>1289846387.6383522</v>
      </c>
      <c r="Q61" s="59">
        <f t="shared" si="32"/>
        <v>1.0288994737301023</v>
      </c>
      <c r="R61" s="68">
        <v>483000</v>
      </c>
      <c r="S61" s="78">
        <v>312000</v>
      </c>
      <c r="T61" s="78">
        <v>221333.33333333331</v>
      </c>
      <c r="U61" s="78">
        <v>126666.66666666666</v>
      </c>
      <c r="V61" s="68">
        <v>107999.99999999997</v>
      </c>
      <c r="W61" s="78">
        <v>6928.2032302755088</v>
      </c>
      <c r="X61" s="68"/>
      <c r="Y61" s="68"/>
      <c r="Z61" s="68"/>
      <c r="AA61" s="68"/>
      <c r="AB61" s="68"/>
      <c r="AC61" s="68"/>
      <c r="AD61" s="68">
        <v>22030.282189144378</v>
      </c>
      <c r="AE61" s="68"/>
      <c r="AF61" s="68"/>
      <c r="AG61" s="68"/>
      <c r="AH61" s="68"/>
      <c r="AI61" s="68"/>
      <c r="AJ61" s="69">
        <v>45007</v>
      </c>
      <c r="AK61" s="69">
        <v>45014</v>
      </c>
      <c r="AL61" s="69">
        <v>45021</v>
      </c>
      <c r="AM61" s="69">
        <v>45029</v>
      </c>
      <c r="AN61" s="69"/>
      <c r="AO61" s="69"/>
      <c r="AP61" s="69"/>
      <c r="AQ61" s="69"/>
      <c r="AR61" s="69"/>
      <c r="AS61" s="42">
        <f t="shared" si="61"/>
        <v>5.6839471307515126</v>
      </c>
      <c r="AT61" s="42">
        <f t="shared" si="62"/>
        <v>5.4941545940184424</v>
      </c>
      <c r="AU61" s="42">
        <f t="shared" si="63"/>
        <v>5.3450468246483549</v>
      </c>
      <c r="AV61" s="42">
        <f t="shared" si="57"/>
        <v>5.1026623418971475</v>
      </c>
      <c r="AW61" s="42">
        <f t="shared" si="55"/>
        <v>5.0334237554869494</v>
      </c>
      <c r="AX61" s="42">
        <f t="shared" si="56"/>
        <v>3.8406206186877934</v>
      </c>
      <c r="AY61" s="42" t="str">
        <f t="shared" si="58"/>
        <v/>
      </c>
      <c r="AZ61" s="42" t="str">
        <f t="shared" si="59"/>
        <v/>
      </c>
      <c r="BA61" s="42" t="str">
        <f t="shared" si="60"/>
        <v/>
      </c>
      <c r="BC61" s="42">
        <f t="shared" si="34"/>
        <v>0</v>
      </c>
      <c r="BD61" s="42">
        <f t="shared" si="41"/>
        <v>7</v>
      </c>
      <c r="BE61" s="42">
        <f t="shared" si="35"/>
        <v>14</v>
      </c>
      <c r="BF61" s="42">
        <f t="shared" si="36"/>
        <v>22</v>
      </c>
      <c r="BG61" s="42" t="str">
        <f t="shared" si="37"/>
        <v/>
      </c>
      <c r="BH61" s="42" t="str">
        <f t="shared" si="10"/>
        <v/>
      </c>
      <c r="BN61" s="42">
        <f>INTERCEPT($AS61:AT61,$BC61:BD61)</f>
        <v>5.6839471307515126</v>
      </c>
      <c r="BO61" s="42">
        <f>INTERCEPT($AS61:AU61,$BC61:BE61)</f>
        <v>5.6771663361910152</v>
      </c>
      <c r="BP61" s="42">
        <f>INTERCEPT($AS61:AV61,$BC61:BF61)</f>
        <v>5.6856971350481782</v>
      </c>
      <c r="BQ61" s="42">
        <f>INTERCEPT($AS61:AW61,$BC61:BG61)</f>
        <v>5.6856971350481782</v>
      </c>
      <c r="BR61" s="42">
        <f>INTERCEPT($AS61:AX61,$BC61:BH61)</f>
        <v>5.6856971350481782</v>
      </c>
      <c r="BS61" s="42">
        <f>INTERCEPT($AS61:AY61,$BC61:BI61)</f>
        <v>5.6856971350481782</v>
      </c>
      <c r="BT61" s="42">
        <f>INTERCEPT($AS61:AZ61,$BC61:BJ61)</f>
        <v>5.6856971350481782</v>
      </c>
      <c r="BU61" s="42">
        <f>INTERCEPT($AS61:BA61,$BC61:BK61)</f>
        <v>5.6856971350481782</v>
      </c>
      <c r="BX61" s="42">
        <f t="shared" si="19"/>
        <v>-2.7113219533295738E-2</v>
      </c>
      <c r="BY61" s="42">
        <f t="shared" si="20"/>
        <v>-2.4207164721654122E-2</v>
      </c>
      <c r="BZ61" s="42">
        <f t="shared" si="54"/>
        <v>-2.5976224392494304E-2</v>
      </c>
      <c r="CA61" s="42">
        <f t="shared" si="25"/>
        <v>-2.5976224392494304E-2</v>
      </c>
      <c r="CB61" s="42">
        <f t="shared" si="26"/>
        <v>-2.5976224392494304E-2</v>
      </c>
      <c r="CC61" s="42" t="str">
        <f t="shared" si="21"/>
        <v/>
      </c>
      <c r="CD61" s="42" t="str">
        <f t="shared" si="22"/>
        <v/>
      </c>
      <c r="CE61" s="42" t="str">
        <f t="shared" si="23"/>
        <v/>
      </c>
      <c r="CH61" s="42">
        <f>IF(S61&gt;0,((4-BN61)/(SLOPE($AS61:AT61, $BC61:BD61))),"")</f>
        <v>62.107973886449805</v>
      </c>
      <c r="CI61" s="42" t="e">
        <f>IF(#REF!&gt;0,((4-BO61)/(SLOPE($AS61:AU61, $BC61:BE61))),"")</f>
        <v>#REF!</v>
      </c>
      <c r="CJ61" s="42" t="e">
        <f>IF(T61&gt;0,((4-BP61)/(SLOPE($AS61:AU61, $BC61:BF61))),"")</f>
        <v>#N/A</v>
      </c>
      <c r="CK61" s="42">
        <f>IF(V61&gt;0,((4-BQ61)/(SLOPE($AS61:AW61, $BC61:BG61))),"")</f>
        <v>64.893847141821411</v>
      </c>
      <c r="CL61" s="42">
        <f>IF(W61&gt;0,((4-BR61)/(SLOPE($AS61:AX61, $BC61:BH61))),"")</f>
        <v>64.893847141821411</v>
      </c>
      <c r="CM61" s="42" t="str">
        <f>IF(X61&gt;0,((4-BS61)/(SLOPE($AS61:AY61, $BC61:BI61))),"")</f>
        <v/>
      </c>
      <c r="CN61" s="42" t="str">
        <f>IF(Y61&gt;0,((4-BT61)/(SLOPE($AS61:AZ61, $BC61:BJ61))),"")</f>
        <v/>
      </c>
      <c r="CO61" s="42" t="str">
        <f>IF(Z61&gt;0,((4-BU61)/(SLOPE($AS61:BA61, $BC61:BK61))),"")</f>
        <v/>
      </c>
    </row>
    <row r="62" spans="1:93">
      <c r="A62" s="42">
        <v>51</v>
      </c>
      <c r="B62" s="123" t="s">
        <v>616</v>
      </c>
      <c r="C62" s="46" t="s">
        <v>142</v>
      </c>
      <c r="D62" s="62" t="s">
        <v>481</v>
      </c>
      <c r="E62" s="45" t="s">
        <v>61</v>
      </c>
      <c r="F62" s="52" t="s">
        <v>63</v>
      </c>
      <c r="G62" s="66"/>
      <c r="H62" s="52" t="s">
        <v>145</v>
      </c>
      <c r="I62" s="52" t="s">
        <v>463</v>
      </c>
      <c r="J62" s="62" t="s">
        <v>593</v>
      </c>
      <c r="K62" s="62">
        <v>21</v>
      </c>
      <c r="L62" s="62">
        <v>2</v>
      </c>
      <c r="M62" s="72" cm="1">
        <f t="array" ref="M62">LOOKUP(2,1/(ISNUMBER(BX62:CE62)),BX62:CE62)</f>
        <v>-2.4422879140405394E-2</v>
      </c>
      <c r="N62" s="72" cm="1">
        <f t="array" ref="N62">LOOKUP(2,1/(ISNUMBER(CH62:CO62)),CH62:CO62)</f>
        <v>70.117335302107406</v>
      </c>
      <c r="O62" s="67">
        <v>6470000000</v>
      </c>
      <c r="P62" s="67">
        <v>1212893693.24402</v>
      </c>
      <c r="Q62" s="59">
        <f t="shared" si="32"/>
        <v>1.0296631108076566</v>
      </c>
      <c r="R62" s="68">
        <v>536000</v>
      </c>
      <c r="S62" s="78">
        <v>292000</v>
      </c>
      <c r="T62" s="78">
        <v>293333.33333333331</v>
      </c>
      <c r="U62" s="78">
        <v>137333.33333333331</v>
      </c>
      <c r="V62" s="68">
        <v>127999.99999999997</v>
      </c>
      <c r="W62" s="78">
        <v>30199.337741082996</v>
      </c>
      <c r="X62" s="68"/>
      <c r="Y62" s="68"/>
      <c r="Z62" s="68"/>
      <c r="AA62" s="68"/>
      <c r="AB62" s="68"/>
      <c r="AC62" s="68"/>
      <c r="AD62" s="68">
        <v>6110.1009266077863</v>
      </c>
      <c r="AE62" s="68"/>
      <c r="AF62" s="68"/>
      <c r="AG62" s="68"/>
      <c r="AH62" s="68"/>
      <c r="AI62" s="68"/>
      <c r="AJ62" s="69">
        <v>45007</v>
      </c>
      <c r="AK62" s="69">
        <v>45014</v>
      </c>
      <c r="AL62" s="69">
        <v>45021</v>
      </c>
      <c r="AM62" s="69">
        <v>45029</v>
      </c>
      <c r="AN62" s="69"/>
      <c r="AO62" s="69"/>
      <c r="AP62" s="69"/>
      <c r="AQ62" s="69"/>
      <c r="AR62" s="69"/>
      <c r="AS62" s="42">
        <f t="shared" si="61"/>
        <v>5.7291647896927698</v>
      </c>
      <c r="AT62" s="42">
        <f t="shared" si="62"/>
        <v>5.4653828514484184</v>
      </c>
      <c r="AU62" s="42">
        <f t="shared" si="63"/>
        <v>5.4673614174305065</v>
      </c>
      <c r="AV62" s="42">
        <f t="shared" si="57"/>
        <v>5.1377759613134719</v>
      </c>
      <c r="AW62" s="42">
        <f t="shared" si="55"/>
        <v>5.1072099696478679</v>
      </c>
      <c r="AX62" s="42">
        <f t="shared" si="56"/>
        <v>4.4799974191642082</v>
      </c>
      <c r="AY62" s="42" t="str">
        <f t="shared" si="58"/>
        <v/>
      </c>
      <c r="AZ62" s="42" t="str">
        <f t="shared" si="59"/>
        <v/>
      </c>
      <c r="BA62" s="42" t="str">
        <f t="shared" si="60"/>
        <v/>
      </c>
      <c r="BC62" s="42">
        <f t="shared" si="34"/>
        <v>0</v>
      </c>
      <c r="BD62" s="42">
        <f t="shared" si="41"/>
        <v>7</v>
      </c>
      <c r="BE62" s="42">
        <f t="shared" si="35"/>
        <v>14</v>
      </c>
      <c r="BF62" s="42">
        <f t="shared" si="36"/>
        <v>22</v>
      </c>
      <c r="BG62" s="42" t="str">
        <f t="shared" si="37"/>
        <v/>
      </c>
      <c r="BH62" s="42" t="str">
        <f t="shared" si="10"/>
        <v/>
      </c>
      <c r="BN62" s="42">
        <f>INTERCEPT($AS62:AT62,$BC62:BD62)</f>
        <v>5.7291647896927698</v>
      </c>
      <c r="BO62" s="42">
        <f>INTERCEPT($AS62:AU62,$BC62:BE62)</f>
        <v>5.6848713723216964</v>
      </c>
      <c r="BP62" s="42">
        <f>INTERCEPT($AS62:AV62,$BC62:BF62)</f>
        <v>5.7124672057306496</v>
      </c>
      <c r="BQ62" s="42">
        <f>INTERCEPT($AS62:AW62,$BC62:BG62)</f>
        <v>5.7124672057306496</v>
      </c>
      <c r="BR62" s="42">
        <f>INTERCEPT($AS62:AX62,$BC62:BH62)</f>
        <v>5.7124672057306496</v>
      </c>
      <c r="BS62" s="42">
        <f>INTERCEPT($AS62:AY62,$BC62:BI62)</f>
        <v>5.7124672057306496</v>
      </c>
      <c r="BT62" s="42">
        <f>INTERCEPT($AS62:AZ62,$BC62:BJ62)</f>
        <v>5.7124672057306496</v>
      </c>
      <c r="BU62" s="42">
        <f>INTERCEPT($AS62:BA62,$BC62:BK62)</f>
        <v>5.7124672057306496</v>
      </c>
      <c r="BX62" s="42">
        <f t="shared" si="19"/>
        <v>-3.7683134034907341E-2</v>
      </c>
      <c r="BY62" s="42">
        <f t="shared" si="20"/>
        <v>-1.8700240875875945E-2</v>
      </c>
      <c r="BZ62" s="42">
        <f t="shared" si="54"/>
        <v>-2.4422879140405394E-2</v>
      </c>
      <c r="CA62" s="42">
        <f t="shared" si="25"/>
        <v>-2.4422879140405394E-2</v>
      </c>
      <c r="CB62" s="42">
        <f t="shared" si="26"/>
        <v>-2.4422879140405394E-2</v>
      </c>
      <c r="CC62" s="42" t="str">
        <f t="shared" si="21"/>
        <v/>
      </c>
      <c r="CD62" s="42" t="str">
        <f t="shared" si="22"/>
        <v/>
      </c>
      <c r="CE62" s="42" t="str">
        <f t="shared" si="23"/>
        <v/>
      </c>
      <c r="CH62" s="42">
        <f>IF(S62&gt;0,((4-BN62)/(SLOPE($AS62:AT62, $BC62:BD62))),"")</f>
        <v>45.886968639364703</v>
      </c>
      <c r="CI62" s="42" t="e">
        <f>IF(#REF!&gt;0,((4-BO62)/(SLOPE($AS62:AU62, $BC62:BE62))),"")</f>
        <v>#REF!</v>
      </c>
      <c r="CJ62" s="42">
        <f>IF(T62&gt;0,((4-BP62)/(SLOPE($AS62:AV62, $BC62:BF62))),"")</f>
        <v>70.117335302107406</v>
      </c>
      <c r="CK62" s="42">
        <f>IF(V62&gt;0,((4-BQ62)/(SLOPE($AS62:AW62, $BC62:BG62))),"")</f>
        <v>70.117335302107406</v>
      </c>
      <c r="CL62" s="42">
        <f>IF(W62&gt;0,((4-BR62)/(SLOPE($AS62:AX62, $BC62:BH62))),"")</f>
        <v>70.117335302107406</v>
      </c>
      <c r="CM62" s="42" t="str">
        <f>IF(X62&gt;0,((4-BS62)/(SLOPE($AS62:AY62, $BC62:BI62))),"")</f>
        <v/>
      </c>
      <c r="CN62" s="42" t="str">
        <f>IF(Y62&gt;0,((4-BT62)/(SLOPE($AS62:AZ62, $BC62:BJ62))),"")</f>
        <v/>
      </c>
      <c r="CO62" s="42" t="str">
        <f>IF(Z62&gt;0,((4-BU62)/(SLOPE($AS62:BA62, $BC62:BK62))),"")</f>
        <v/>
      </c>
    </row>
    <row r="63" spans="1:93">
      <c r="A63" s="42">
        <v>50</v>
      </c>
      <c r="B63" s="123" t="s">
        <v>617</v>
      </c>
      <c r="C63" s="46" t="s">
        <v>142</v>
      </c>
      <c r="D63" s="52" t="s">
        <v>479</v>
      </c>
      <c r="E63" s="45" t="s">
        <v>61</v>
      </c>
      <c r="F63" s="52" t="s">
        <v>63</v>
      </c>
      <c r="H63" s="52" t="s">
        <v>145</v>
      </c>
      <c r="I63" s="52" t="s">
        <v>463</v>
      </c>
      <c r="J63" s="62" t="s">
        <v>593</v>
      </c>
      <c r="K63" s="62">
        <v>21</v>
      </c>
      <c r="L63" s="62">
        <v>3</v>
      </c>
      <c r="M63" s="72" cm="1">
        <f t="array" ref="M63">LOOKUP(2,1/(ISNUMBER(BX63:CE63)),BX63:CE63)</f>
        <v>-3.6341240215846615E-2</v>
      </c>
      <c r="N63" s="72" cm="1">
        <f t="array" ref="N63">LOOKUP(2,1/(ISNUMBER(CH63:CO63)),CH63:CO63)</f>
        <v>40.951572385272776</v>
      </c>
      <c r="O63" s="67">
        <v>3420000000</v>
      </c>
      <c r="P63" s="67">
        <v>220000000</v>
      </c>
      <c r="Q63" s="59">
        <f t="shared" si="32"/>
        <v>1.0394699568234129</v>
      </c>
      <c r="R63" s="68">
        <v>277000</v>
      </c>
      <c r="S63" s="43">
        <v>223999.99999999994</v>
      </c>
      <c r="T63" s="43">
        <v>88133.333333333314</v>
      </c>
      <c r="AC63" s="43">
        <v>11245.147101453698</v>
      </c>
      <c r="AJ63" s="44">
        <v>45015</v>
      </c>
      <c r="AK63" s="44">
        <v>45021</v>
      </c>
      <c r="AL63" s="44">
        <v>45029</v>
      </c>
      <c r="AS63" s="42">
        <f t="shared" si="61"/>
        <v>5.4424797690644482</v>
      </c>
      <c r="AT63" s="42">
        <f t="shared" si="62"/>
        <v>5.3502480183341623</v>
      </c>
      <c r="AU63" s="42">
        <f t="shared" si="63"/>
        <v>4.9451401960939405</v>
      </c>
      <c r="AV63" s="42" t="str">
        <f t="shared" si="57"/>
        <v/>
      </c>
      <c r="AW63" s="42" t="str">
        <f t="shared" si="55"/>
        <v/>
      </c>
      <c r="AX63" s="42" t="str">
        <f t="shared" si="56"/>
        <v/>
      </c>
      <c r="AY63" s="42" t="str">
        <f t="shared" si="58"/>
        <v/>
      </c>
      <c r="AZ63" s="42" t="str">
        <f t="shared" si="59"/>
        <v/>
      </c>
      <c r="BA63" s="42" t="str">
        <f t="shared" si="60"/>
        <v/>
      </c>
      <c r="BC63" s="42">
        <f t="shared" si="34"/>
        <v>0</v>
      </c>
      <c r="BD63" s="42">
        <f t="shared" si="41"/>
        <v>6</v>
      </c>
      <c r="BE63" s="42">
        <f t="shared" si="35"/>
        <v>14</v>
      </c>
      <c r="BF63" s="42" t="str">
        <f t="shared" si="36"/>
        <v/>
      </c>
      <c r="BG63" s="42" t="str">
        <f t="shared" si="37"/>
        <v/>
      </c>
      <c r="BH63" s="42" t="str">
        <f t="shared" si="10"/>
        <v/>
      </c>
      <c r="BN63" s="42">
        <f>INTERCEPT($AS63:AT63,$BC63:BD63)</f>
        <v>5.4424797690644482</v>
      </c>
      <c r="BO63" s="42">
        <f>INTERCEPT($AS63:AU63,$BC63:BE63)</f>
        <v>5.4882309292698288</v>
      </c>
      <c r="BP63" s="42">
        <f>INTERCEPT($AS63:AV63,$BC63:BF63)</f>
        <v>5.4882309292698288</v>
      </c>
      <c r="BQ63" s="42">
        <f>INTERCEPT($AS63:AW63,$BC63:BG63)</f>
        <v>5.4882309292698288</v>
      </c>
      <c r="BR63" s="42">
        <f>INTERCEPT($AS63:AX63,$BC63:BH63)</f>
        <v>5.4882309292698288</v>
      </c>
      <c r="BS63" s="42">
        <f>INTERCEPT($AS63:AY63,$BC63:BI63)</f>
        <v>5.4882309292698288</v>
      </c>
      <c r="BT63" s="42">
        <f>INTERCEPT($AS63:AZ63,$BC63:BJ63)</f>
        <v>5.4882309292698288</v>
      </c>
      <c r="BU63" s="42">
        <f>INTERCEPT($AS63:BA63,$BC63:BK63)</f>
        <v>5.4882309292698288</v>
      </c>
      <c r="BX63" s="42">
        <f t="shared" si="19"/>
        <v>-1.5371958455047649E-2</v>
      </c>
      <c r="BY63" s="42">
        <f t="shared" si="20"/>
        <v>-3.6341240215846615E-2</v>
      </c>
      <c r="BZ63" s="42">
        <f t="shared" si="54"/>
        <v>-3.6341240215846615E-2</v>
      </c>
      <c r="CA63" s="42" t="str">
        <f t="shared" si="25"/>
        <v/>
      </c>
      <c r="CB63" s="42" t="str">
        <f t="shared" si="26"/>
        <v/>
      </c>
      <c r="CC63" s="42" t="str">
        <f t="shared" si="21"/>
        <v/>
      </c>
      <c r="CD63" s="42" t="str">
        <f t="shared" si="22"/>
        <v/>
      </c>
      <c r="CE63" s="42" t="str">
        <f t="shared" si="23"/>
        <v/>
      </c>
      <c r="CH63" s="42">
        <f>IF(S63&gt;0,((4-BN63)/(SLOPE($AS63:AT63, $BC63:BD63))),"")</f>
        <v>93.838385868834109</v>
      </c>
      <c r="CI63" s="42" t="e">
        <f>IF(#REF!&gt;0,((4-BO63)/(SLOPE($AS63:AU63, $BC63:BE63))),"")</f>
        <v>#REF!</v>
      </c>
      <c r="CJ63" s="42">
        <f>IF(T63&gt;0,((4-BP63)/(SLOPE($AS63:AV63, $BC63:BF63))),"")</f>
        <v>40.951572385272776</v>
      </c>
      <c r="CK63" s="42" t="str">
        <f>IF(V63&gt;0,((4-BQ63)/(SLOPE($AS63:AW63, $BC63:BG63))),"")</f>
        <v/>
      </c>
      <c r="CL63" s="42" t="str">
        <f>IF(W63&gt;0,((4-BR63)/(SLOPE($AS63:AX63, $BC63:BH63))),"")</f>
        <v/>
      </c>
      <c r="CM63" s="42" t="str">
        <f>IF(X63&gt;0,((4-BS63)/(SLOPE($AS63:AY63, $BC63:BI63))),"")</f>
        <v/>
      </c>
      <c r="CN63" s="42" t="str">
        <f>IF(Y63&gt;0,((4-BT63)/(SLOPE($AS63:AZ63, $BC63:BJ63))),"")</f>
        <v/>
      </c>
      <c r="CO63" s="42" t="str">
        <f>IF(Z63&gt;0,((4-BU63)/(SLOPE($AS63:BA63, $BC63:BK63))),"")</f>
        <v/>
      </c>
    </row>
    <row r="64" spans="1:93">
      <c r="A64" s="42">
        <v>52</v>
      </c>
      <c r="B64" s="123" t="s">
        <v>617</v>
      </c>
      <c r="C64" s="46" t="s">
        <v>142</v>
      </c>
      <c r="D64" s="132" t="s">
        <v>481</v>
      </c>
      <c r="E64" s="45" t="s">
        <v>61</v>
      </c>
      <c r="F64" s="52" t="s">
        <v>63</v>
      </c>
      <c r="H64" s="52" t="s">
        <v>145</v>
      </c>
      <c r="I64" s="52" t="s">
        <v>463</v>
      </c>
      <c r="J64" s="62" t="s">
        <v>593</v>
      </c>
      <c r="K64" s="62">
        <v>21</v>
      </c>
      <c r="L64" s="62">
        <v>3</v>
      </c>
      <c r="M64" s="72" cm="1">
        <f t="array" ref="M64">LOOKUP(2,1/(ISNUMBER(BX64:CE64)),BX64:CE64)</f>
        <v>-2.723338873932693E-2</v>
      </c>
      <c r="N64" s="72" cm="1">
        <f t="array" ref="N64">LOOKUP(2,1/(ISNUMBER(CH64:CO64)),CH64:CO64)</f>
        <v>52.008556671440068</v>
      </c>
      <c r="O64" s="67">
        <v>4760000000</v>
      </c>
      <c r="P64" s="67">
        <v>272000000</v>
      </c>
      <c r="Q64" s="59">
        <f t="shared" si="32"/>
        <v>1.1706857125437091</v>
      </c>
      <c r="R64" s="68">
        <v>285000</v>
      </c>
      <c r="S64" s="43">
        <v>153333.33333333331</v>
      </c>
      <c r="T64" s="43">
        <v>115866.66666666664</v>
      </c>
      <c r="AC64" s="43">
        <v>11428.619047519842</v>
      </c>
      <c r="AJ64" s="44">
        <v>45015</v>
      </c>
      <c r="AK64" s="44">
        <v>45021</v>
      </c>
      <c r="AL64" s="44">
        <v>45029</v>
      </c>
      <c r="AS64" s="42">
        <f t="shared" si="61"/>
        <v>5.4548448600085102</v>
      </c>
      <c r="AT64" s="42">
        <f t="shared" si="62"/>
        <v>5.1856365769619117</v>
      </c>
      <c r="AU64" s="42">
        <f t="shared" si="63"/>
        <v>5.0639585130569662</v>
      </c>
      <c r="AV64" s="42" t="str">
        <f t="shared" si="57"/>
        <v/>
      </c>
      <c r="AW64" s="42" t="str">
        <f t="shared" si="55"/>
        <v/>
      </c>
      <c r="AX64" s="42" t="str">
        <f t="shared" si="56"/>
        <v/>
      </c>
      <c r="AY64" s="42" t="str">
        <f t="shared" si="58"/>
        <v/>
      </c>
      <c r="AZ64" s="42" t="str">
        <f t="shared" si="59"/>
        <v/>
      </c>
      <c r="BA64" s="42" t="str">
        <f t="shared" si="60"/>
        <v/>
      </c>
      <c r="BC64" s="42">
        <f t="shared" si="34"/>
        <v>0</v>
      </c>
      <c r="BD64" s="42">
        <f t="shared" si="41"/>
        <v>6</v>
      </c>
      <c r="BE64" s="42">
        <f t="shared" si="35"/>
        <v>14</v>
      </c>
      <c r="BF64" s="42" t="str">
        <f t="shared" si="36"/>
        <v/>
      </c>
      <c r="BG64" s="42" t="str">
        <f t="shared" si="37"/>
        <v/>
      </c>
      <c r="BH64" s="42" t="str">
        <f t="shared" si="10"/>
        <v/>
      </c>
      <c r="BN64" s="42">
        <f>INTERCEPT($AS64:AT64,$BC64:BD64)</f>
        <v>5.4548448600085102</v>
      </c>
      <c r="BO64" s="42">
        <f>INTERCEPT($AS64:AU64,$BC64:BE64)</f>
        <v>5.4163692416046425</v>
      </c>
      <c r="BP64" s="42">
        <f>INTERCEPT($AS64:AV64,$BC64:BF64)</f>
        <v>5.4163692416046425</v>
      </c>
      <c r="BQ64" s="42">
        <f>INTERCEPT($AS64:AW64,$BC64:BG64)</f>
        <v>5.4163692416046425</v>
      </c>
      <c r="BR64" s="42">
        <f>INTERCEPT($AS64:AX64,$BC64:BH64)</f>
        <v>5.4163692416046425</v>
      </c>
      <c r="BS64" s="42">
        <f>INTERCEPT($AS64:AY64,$BC64:BI64)</f>
        <v>5.4163692416046425</v>
      </c>
      <c r="BT64" s="42">
        <f>INTERCEPT($AS64:AZ64,$BC64:BJ64)</f>
        <v>5.4163692416046425</v>
      </c>
      <c r="BU64" s="42">
        <f>INTERCEPT($AS64:BA64,$BC64:BK64)</f>
        <v>5.4163692416046425</v>
      </c>
      <c r="BX64" s="42">
        <f t="shared" si="19"/>
        <v>-4.486804717443308E-2</v>
      </c>
      <c r="BY64" s="42">
        <f t="shared" si="20"/>
        <v>-2.723338873932693E-2</v>
      </c>
      <c r="BZ64" s="42">
        <f t="shared" ref="BZ64:BZ69" si="65">IF(S64&gt;1,(SLOPE(AS64:AV64, BC64:BF64)),"")</f>
        <v>-2.723338873932693E-2</v>
      </c>
      <c r="CA64" s="42" t="str">
        <f t="shared" si="25"/>
        <v/>
      </c>
      <c r="CB64" s="42" t="str">
        <f t="shared" si="26"/>
        <v/>
      </c>
      <c r="CC64" s="42" t="str">
        <f t="shared" si="21"/>
        <v/>
      </c>
      <c r="CD64" s="42" t="str">
        <f t="shared" si="22"/>
        <v/>
      </c>
      <c r="CE64" s="42" t="str">
        <f t="shared" si="23"/>
        <v/>
      </c>
      <c r="CH64" s="42" t="e">
        <f>IF(#REF!&gt;0,((4-BN64)/(SLOPE($AS64:AT64, $BC64:BD64))),"")</f>
        <v>#REF!</v>
      </c>
      <c r="CI64" s="42">
        <f>IF(T64&gt;0,((4-BO64)/(SLOPE($AS64:AU64, $BC64:BE64))),"")</f>
        <v>52.008556671440068</v>
      </c>
      <c r="CJ64" s="42">
        <f>IF(S64&gt;0,((4-BP64)/(SLOPE($AS64:AV64, $BC64:BF64))),"")</f>
        <v>52.008556671440068</v>
      </c>
      <c r="CK64" s="42" t="str">
        <f>IF(V64&gt;0,((4-BQ64)/(SLOPE($AS64:AW64, $BC64:BG64))),"")</f>
        <v/>
      </c>
      <c r="CL64" s="42" t="str">
        <f>IF(W64&gt;0,((4-BR64)/(SLOPE($AS64:AX64, $BC64:BH64))),"")</f>
        <v/>
      </c>
      <c r="CM64" s="42" t="str">
        <f>IF(X64&gt;0,((4-BS64)/(SLOPE($AS64:AY64, $BC64:BI64))),"")</f>
        <v/>
      </c>
      <c r="CN64" s="42" t="str">
        <f>IF(Y64&gt;0,((4-BT64)/(SLOPE($AS64:AZ64, $BC64:BJ64))),"")</f>
        <v/>
      </c>
      <c r="CO64" s="42" t="str">
        <f>IF(Z64&gt;0,((4-BU64)/(SLOPE($AS64:BA64, $BC64:BK64))),"")</f>
        <v/>
      </c>
    </row>
    <row r="65" spans="1:93">
      <c r="A65" s="42">
        <v>55</v>
      </c>
      <c r="B65" s="123" t="s">
        <v>617</v>
      </c>
      <c r="C65" s="46" t="s">
        <v>149</v>
      </c>
      <c r="D65" s="132" t="s">
        <v>485</v>
      </c>
      <c r="E65" s="45" t="s">
        <v>35</v>
      </c>
      <c r="F65" s="52" t="s">
        <v>63</v>
      </c>
      <c r="G65" s="52"/>
      <c r="H65" s="52" t="s">
        <v>152</v>
      </c>
      <c r="I65" s="52" t="s">
        <v>590</v>
      </c>
      <c r="J65" s="62" t="s">
        <v>593</v>
      </c>
      <c r="K65" s="62">
        <v>21</v>
      </c>
      <c r="L65" s="46">
        <v>2</v>
      </c>
      <c r="M65" s="72" cm="1">
        <f t="array" ref="M65">LOOKUP(2,1/(ISNUMBER(BX65:CE65)),BX65:CE65)</f>
        <v>-2.1959825669859753E-2</v>
      </c>
      <c r="N65" s="72" cm="1">
        <f t="array" ref="N65">LOOKUP(2,1/(ISNUMBER(CH65:CO65)),CH65:CO65)</f>
        <v>79.668322755940252</v>
      </c>
      <c r="O65" s="67">
        <v>5600000000</v>
      </c>
      <c r="P65" s="67">
        <v>317000000</v>
      </c>
      <c r="Q65" s="59">
        <f t="shared" ref="Q65:Q86" si="66">LOG(O65*0.000887)-LOG(R65)</f>
        <v>0.90865117231951142</v>
      </c>
      <c r="R65" s="68">
        <v>613000</v>
      </c>
      <c r="S65" s="43">
        <v>334666.66666666663</v>
      </c>
      <c r="T65" s="43">
        <v>283999.99999999994</v>
      </c>
      <c r="V65" s="68"/>
      <c r="AC65" s="43">
        <v>17435.595774162695</v>
      </c>
      <c r="AJ65" s="44">
        <v>45014</v>
      </c>
      <c r="AK65" s="44">
        <v>45021</v>
      </c>
      <c r="AL65" s="44">
        <v>45029</v>
      </c>
      <c r="AM65" s="69"/>
      <c r="AS65" s="42">
        <f t="shared" si="61"/>
        <v>5.7874604745184151</v>
      </c>
      <c r="AT65" s="42">
        <f t="shared" si="62"/>
        <v>5.5246124580893383</v>
      </c>
      <c r="AU65" s="42">
        <f t="shared" si="63"/>
        <v>5.453318340047038</v>
      </c>
      <c r="AV65" s="42">
        <f>IF(T65&gt;0,(LOG(T65)),"")</f>
        <v>5.453318340047038</v>
      </c>
      <c r="AW65" s="42" t="str">
        <f t="shared" si="55"/>
        <v/>
      </c>
      <c r="AX65" s="42" t="str">
        <f t="shared" si="56"/>
        <v/>
      </c>
      <c r="AY65" s="42" t="str">
        <f t="shared" si="58"/>
        <v/>
      </c>
      <c r="AZ65" s="42" t="str">
        <f t="shared" si="59"/>
        <v/>
      </c>
      <c r="BA65" s="42" t="str">
        <f t="shared" si="60"/>
        <v/>
      </c>
      <c r="BC65" s="42">
        <f t="shared" si="34"/>
        <v>0</v>
      </c>
      <c r="BD65" s="42">
        <f t="shared" si="41"/>
        <v>7</v>
      </c>
      <c r="BE65" s="42">
        <f t="shared" si="35"/>
        <v>15</v>
      </c>
      <c r="BF65" s="42" t="str">
        <f t="shared" si="36"/>
        <v/>
      </c>
      <c r="BG65" s="42" t="str">
        <f t="shared" si="37"/>
        <v/>
      </c>
      <c r="BH65" s="42" t="str">
        <f t="shared" si="10"/>
        <v/>
      </c>
      <c r="BN65" s="42">
        <f>INTERCEPT($AS65:AT65,$BC65:BD65)</f>
        <v>5.7874604745184151</v>
      </c>
      <c r="BO65" s="42">
        <f>INTERCEPT($AS65:AU65,$BC65:BE65)</f>
        <v>5.7495024791305687</v>
      </c>
      <c r="BP65" s="42">
        <f>INTERCEPT($AS65:AV65,$BC65:BF65)</f>
        <v>5.7495024791305687</v>
      </c>
      <c r="BQ65" s="42">
        <f>INTERCEPT($AS65:AW65,$BC65:BG65)</f>
        <v>5.7495024791305687</v>
      </c>
      <c r="BR65" s="42">
        <f>INTERCEPT($AS65:AX65,$BC65:BH65)</f>
        <v>5.7495024791305687</v>
      </c>
      <c r="BS65" s="42">
        <f>INTERCEPT($AS65:AY65,$BC65:BI65)</f>
        <v>5.7495024791305687</v>
      </c>
      <c r="BT65" s="42">
        <f>INTERCEPT($AS65:AZ65,$BC65:BJ65)</f>
        <v>5.7495024791305687</v>
      </c>
      <c r="BU65" s="42">
        <f>INTERCEPT($AS65:BA65,$BC65:BK65)</f>
        <v>5.7495024791305687</v>
      </c>
      <c r="BX65" s="42">
        <f t="shared" si="19"/>
        <v>-3.7549716632725251E-2</v>
      </c>
      <c r="BY65" s="42">
        <f t="shared" si="20"/>
        <v>-2.1959825669859753E-2</v>
      </c>
      <c r="BZ65" s="42">
        <f t="shared" si="65"/>
        <v>-2.1959825669859753E-2</v>
      </c>
      <c r="CA65" s="42" t="str">
        <f t="shared" si="25"/>
        <v/>
      </c>
      <c r="CB65" s="42" t="str">
        <f t="shared" si="26"/>
        <v/>
      </c>
      <c r="CC65" s="42" t="str">
        <f t="shared" si="21"/>
        <v/>
      </c>
      <c r="CD65" s="42" t="str">
        <f t="shared" si="22"/>
        <v/>
      </c>
      <c r="CE65" s="42" t="str">
        <f t="shared" si="23"/>
        <v/>
      </c>
      <c r="CH65" s="42" t="e">
        <f>IF(#REF!&gt;0,((4-BN65)/(SLOPE($AS65:AT65, $BC65:BD65))),"")</f>
        <v>#REF!</v>
      </c>
      <c r="CI65" s="42">
        <f>IF(T65&gt;0,((4-BO65)/(SLOPE($AS65:AU65, $BC65:BE65))),"")</f>
        <v>79.668322755940252</v>
      </c>
      <c r="CJ65" s="42">
        <f>IF(S65&gt;0,((4-BP65)/(SLOPE($AS65:AV65, $BC65:BF65))),"")</f>
        <v>79.668322755940252</v>
      </c>
      <c r="CK65" s="42" t="str">
        <f>IF(V65&gt;0,((4-BQ65)/(SLOPE($AS65:AW65, $BC65:BG65))),"")</f>
        <v/>
      </c>
      <c r="CL65" s="42" t="str">
        <f>IF(W65&gt;0,((4-BR65)/(SLOPE($AS65:AX65, $BC65:BH65))),"")</f>
        <v/>
      </c>
      <c r="CM65" s="42" t="str">
        <f>IF(X65&gt;0,((4-BS65)/(SLOPE($AS65:AY65, $BC65:BI65))),"")</f>
        <v/>
      </c>
      <c r="CN65" s="42" t="str">
        <f>IF(Y65&gt;0,((4-BT65)/(SLOPE($AS65:AZ65, $BC65:BJ65))),"")</f>
        <v/>
      </c>
      <c r="CO65" s="42" t="str">
        <f>IF(Z65&gt;0,((4-BU65)/(SLOPE($AS65:BA65, $BC65:BK65))),"")</f>
        <v/>
      </c>
    </row>
    <row r="66" spans="1:93">
      <c r="A66" s="42">
        <v>56</v>
      </c>
      <c r="B66" s="123" t="s">
        <v>617</v>
      </c>
      <c r="C66" s="46" t="s">
        <v>149</v>
      </c>
      <c r="D66" s="132" t="s">
        <v>486</v>
      </c>
      <c r="E66" s="45" t="s">
        <v>35</v>
      </c>
      <c r="F66" s="52" t="s">
        <v>63</v>
      </c>
      <c r="G66" s="52"/>
      <c r="H66" s="52" t="s">
        <v>152</v>
      </c>
      <c r="I66" s="52" t="s">
        <v>590</v>
      </c>
      <c r="J66" s="62" t="s">
        <v>593</v>
      </c>
      <c r="K66" s="62">
        <v>21</v>
      </c>
      <c r="L66" s="62">
        <v>2</v>
      </c>
      <c r="M66" s="72" cm="1">
        <f t="array" ref="M66">LOOKUP(2,1/(ISNUMBER(BX66:CE66)),BX66:CE66)</f>
        <v>-8.2783581661307185E-2</v>
      </c>
      <c r="N66" s="72" cm="1">
        <f t="array" ref="N66">LOOKUP(2,1/(ISNUMBER(CH66:CO66)),CH66:CO66)</f>
        <v>18.531634431080832</v>
      </c>
      <c r="O66" s="67">
        <v>6680000000</v>
      </c>
      <c r="P66" s="67">
        <v>312000000</v>
      </c>
      <c r="Q66" s="59">
        <f t="shared" si="66"/>
        <v>1.1166018802944402</v>
      </c>
      <c r="R66" s="68">
        <v>453000</v>
      </c>
      <c r="S66" s="43">
        <v>53199.999999999993</v>
      </c>
      <c r="T66" s="43">
        <v>25066.666666666664</v>
      </c>
      <c r="AC66" s="43">
        <v>16772.994167212164</v>
      </c>
      <c r="AJ66" s="44">
        <v>45014</v>
      </c>
      <c r="AK66" s="44">
        <v>45021</v>
      </c>
      <c r="AL66" s="44">
        <v>45029</v>
      </c>
      <c r="AM66" s="69"/>
      <c r="AS66" s="42">
        <f t="shared" si="61"/>
        <v>5.6560982020128323</v>
      </c>
      <c r="AT66" s="42">
        <f t="shared" si="62"/>
        <v>4.7259116322950483</v>
      </c>
      <c r="AU66" s="42">
        <f t="shared" si="63"/>
        <v>4.3990965858719795</v>
      </c>
      <c r="AV66" s="42">
        <f>IF(T66&gt;0,(LOG(T66)),"")</f>
        <v>4.3990965858719795</v>
      </c>
      <c r="AW66" s="42" t="str">
        <f t="shared" si="55"/>
        <v/>
      </c>
      <c r="AX66" s="42" t="str">
        <f t="shared" si="56"/>
        <v/>
      </c>
      <c r="AY66" s="42" t="str">
        <f t="shared" si="58"/>
        <v/>
      </c>
      <c r="AZ66" s="42" t="str">
        <f t="shared" si="59"/>
        <v/>
      </c>
      <c r="BA66" s="42" t="str">
        <f t="shared" si="60"/>
        <v/>
      </c>
      <c r="BC66" s="42">
        <f t="shared" si="34"/>
        <v>0</v>
      </c>
      <c r="BD66" s="42">
        <f t="shared" si="41"/>
        <v>7</v>
      </c>
      <c r="BE66" s="42">
        <f t="shared" si="35"/>
        <v>15</v>
      </c>
      <c r="BF66" s="42" t="str">
        <f t="shared" si="36"/>
        <v/>
      </c>
      <c r="BG66" s="42" t="str">
        <f t="shared" si="37"/>
        <v/>
      </c>
      <c r="BH66" s="42" t="str">
        <f t="shared" si="37"/>
        <v/>
      </c>
      <c r="BN66" s="42">
        <f>INTERCEPT($AS66:AT66,$BC66:BD66)</f>
        <v>5.6560982020128323</v>
      </c>
      <c r="BO66" s="42">
        <f>INTERCEPT($AS66:AU66,$BC66:BE66)</f>
        <v>5.534115072242872</v>
      </c>
      <c r="BP66" s="42">
        <f>INTERCEPT($AS66:AV66,$BC66:BF66)</f>
        <v>5.534115072242872</v>
      </c>
      <c r="BQ66" s="42">
        <f>INTERCEPT($AS66:AW66,$BC66:BG66)</f>
        <v>5.534115072242872</v>
      </c>
      <c r="BR66" s="42">
        <f>INTERCEPT($AS66:AX66,$BC66:BH66)</f>
        <v>5.534115072242872</v>
      </c>
      <c r="BS66" s="42">
        <f>INTERCEPT($AS66:AY66,$BC66:BI66)</f>
        <v>5.534115072242872</v>
      </c>
      <c r="BT66" s="42">
        <f>INTERCEPT($AS66:AZ66,$BC66:BJ66)</f>
        <v>5.534115072242872</v>
      </c>
      <c r="BU66" s="42">
        <f>INTERCEPT($AS66:BA66,$BC66:BK66)</f>
        <v>5.534115072242872</v>
      </c>
      <c r="BX66" s="42">
        <f t="shared" si="19"/>
        <v>-0.13288379567396916</v>
      </c>
      <c r="BY66" s="42">
        <f t="shared" si="20"/>
        <v>-8.2783581661307185E-2</v>
      </c>
      <c r="BZ66" s="42">
        <f t="shared" si="65"/>
        <v>-8.2783581661307185E-2</v>
      </c>
      <c r="CA66" s="42" t="str">
        <f t="shared" si="25"/>
        <v/>
      </c>
      <c r="CB66" s="42" t="str">
        <f t="shared" si="26"/>
        <v/>
      </c>
      <c r="CC66" s="42" t="str">
        <f t="shared" si="21"/>
        <v/>
      </c>
      <c r="CD66" s="42" t="str">
        <f t="shared" si="22"/>
        <v/>
      </c>
      <c r="CE66" s="42" t="str">
        <f t="shared" si="23"/>
        <v/>
      </c>
      <c r="CH66" s="42" t="e">
        <f>IF(#REF!&gt;0,((4-BN66)/(SLOPE($AS66:AT66, $BC66:BD66))),"")</f>
        <v>#REF!</v>
      </c>
      <c r="CI66" s="42">
        <f>IF(T66&gt;0,((4-BO66)/(SLOPE($AS66:AU66, $BC66:BE66))),"")</f>
        <v>18.531634431080832</v>
      </c>
      <c r="CJ66" s="42">
        <f>IF(S66&gt;0,((4-BP66)/(SLOPE($AS66:AV66, $BC66:BF66))),"")</f>
        <v>18.531634431080832</v>
      </c>
      <c r="CK66" s="42" t="str">
        <f>IF(V66&gt;0,((4-BQ66)/(SLOPE($AS66:AW66, $BC66:BG66))),"")</f>
        <v/>
      </c>
      <c r="CL66" s="42" t="str">
        <f>IF(W66&gt;0,((4-BR66)/(SLOPE($AS66:AX66, $BC66:BH66))),"")</f>
        <v/>
      </c>
      <c r="CM66" s="42" t="str">
        <f>IF(X66&gt;0,((4-BS66)/(SLOPE($AS66:AY66, $BC66:BI66))),"")</f>
        <v/>
      </c>
      <c r="CN66" s="42" t="str">
        <f>IF(Y66&gt;0,((4-BT66)/(SLOPE($AS66:AZ66, $BC66:BJ66))),"")</f>
        <v/>
      </c>
      <c r="CO66" s="42" t="str">
        <f>IF(Z66&gt;0,((4-BU66)/(SLOPE($AS66:BA66, $BC66:BK66))),"")</f>
        <v/>
      </c>
    </row>
    <row r="67" spans="1:93">
      <c r="A67" s="42">
        <v>57</v>
      </c>
      <c r="B67" s="123" t="s">
        <v>617</v>
      </c>
      <c r="C67" s="46" t="s">
        <v>149</v>
      </c>
      <c r="D67" s="132" t="s">
        <v>488</v>
      </c>
      <c r="E67" s="45" t="s">
        <v>35</v>
      </c>
      <c r="F67" s="52" t="s">
        <v>63</v>
      </c>
      <c r="G67" s="52"/>
      <c r="H67" s="52" t="s">
        <v>152</v>
      </c>
      <c r="I67" s="52" t="s">
        <v>590</v>
      </c>
      <c r="J67" s="62" t="s">
        <v>593</v>
      </c>
      <c r="K67" s="62">
        <v>21</v>
      </c>
      <c r="L67" s="62">
        <v>2</v>
      </c>
      <c r="M67" s="72" cm="1">
        <f t="array" ref="M67">LOOKUP(2,1/(ISNUMBER(BX67:CE67)),BX67:CE67)</f>
        <v>-1.685929559596817E-2</v>
      </c>
      <c r="N67" s="72" cm="1">
        <f t="array" ref="N67">LOOKUP(2,1/(ISNUMBER(CH67:CO67)),CH67:CO67)</f>
        <v>111.63999528913392</v>
      </c>
      <c r="O67" s="67">
        <v>6610000000</v>
      </c>
      <c r="P67" s="67">
        <v>1220000000</v>
      </c>
      <c r="Q67" s="59">
        <f t="shared" si="66"/>
        <v>0.88503172074167669</v>
      </c>
      <c r="R67" s="68">
        <v>764000</v>
      </c>
      <c r="S67" s="43">
        <v>578666.66666666663</v>
      </c>
      <c r="T67" s="43">
        <v>426666.66666666663</v>
      </c>
      <c r="AC67" s="43">
        <v>46875.72221665852</v>
      </c>
      <c r="AJ67" s="44">
        <v>45014</v>
      </c>
      <c r="AK67" s="44">
        <v>45021</v>
      </c>
      <c r="AL67" s="44">
        <v>45029</v>
      </c>
      <c r="AS67" s="42">
        <f t="shared" si="61"/>
        <v>5.8830933585756897</v>
      </c>
      <c r="AT67" s="42">
        <f t="shared" si="62"/>
        <v>5.7624284661208103</v>
      </c>
      <c r="AU67" s="42">
        <f t="shared" si="63"/>
        <v>5.6300887149282062</v>
      </c>
      <c r="AV67" s="42">
        <f>IF(T67&gt;0,(LOG(T67)),"")</f>
        <v>5.6300887149282062</v>
      </c>
      <c r="AW67" s="42" t="str">
        <f t="shared" si="55"/>
        <v/>
      </c>
      <c r="AX67" s="42" t="str">
        <f t="shared" si="56"/>
        <v/>
      </c>
      <c r="AY67" s="42" t="str">
        <f t="shared" si="58"/>
        <v/>
      </c>
      <c r="AZ67" s="42" t="str">
        <f t="shared" si="59"/>
        <v/>
      </c>
      <c r="BA67" s="42" t="str">
        <f t="shared" si="60"/>
        <v/>
      </c>
      <c r="BC67" s="42">
        <f t="shared" si="34"/>
        <v>0</v>
      </c>
      <c r="BD67" s="42">
        <f t="shared" si="41"/>
        <v>7</v>
      </c>
      <c r="BE67" s="42">
        <f t="shared" si="35"/>
        <v>15</v>
      </c>
      <c r="BF67" s="42" t="str">
        <f t="shared" si="36"/>
        <v/>
      </c>
      <c r="BG67" s="42" t="str">
        <f t="shared" si="37"/>
        <v/>
      </c>
      <c r="BH67" s="42" t="str">
        <f t="shared" si="37"/>
        <v/>
      </c>
      <c r="BN67" s="42">
        <f>INTERCEPT($AS67:AT67,$BC67:BD67)</f>
        <v>5.8830933585756897</v>
      </c>
      <c r="BO67" s="42">
        <f>INTERCEPT($AS67:AU67,$BC67:BE67)</f>
        <v>5.8821716809120028</v>
      </c>
      <c r="BP67" s="42">
        <f>INTERCEPT($AS67:AV67,$BC67:BF67)</f>
        <v>5.8821716809120028</v>
      </c>
      <c r="BQ67" s="42">
        <f>INTERCEPT($AS67:AW67,$BC67:BG67)</f>
        <v>5.8821716809120028</v>
      </c>
      <c r="BR67" s="42">
        <f>INTERCEPT($AS67:AX67,$BC67:BH67)</f>
        <v>5.8821716809120028</v>
      </c>
      <c r="BS67" s="42">
        <f>INTERCEPT($AS67:AY67,$BC67:BI67)</f>
        <v>5.8821716809120028</v>
      </c>
      <c r="BT67" s="42">
        <f>INTERCEPT($AS67:AZ67,$BC67:BJ67)</f>
        <v>5.8821716809120028</v>
      </c>
      <c r="BU67" s="42">
        <f>INTERCEPT($AS67:BA67,$BC67:BK67)</f>
        <v>5.8821716809120028</v>
      </c>
      <c r="BX67" s="42">
        <f t="shared" ref="BX67:BX74" si="67">IF(S67&gt;1,(SLOPE(AS67:AT67, BC67:BD67)),"")</f>
        <v>-1.723784177926849E-2</v>
      </c>
      <c r="BY67" s="42">
        <f t="shared" ref="BY67:BY69" si="68">IF(T67&gt;1,(SLOPE(AS67:AU67, BC67:BE67)),"")</f>
        <v>-1.685929559596817E-2</v>
      </c>
      <c r="BZ67" s="42">
        <f t="shared" si="65"/>
        <v>-1.685929559596817E-2</v>
      </c>
      <c r="CA67" s="42" t="str">
        <f t="shared" ref="CA67:CA76" si="69">IF(V67&gt;1,(SLOPE(AS67:AW67, BC67:BG67)),"")</f>
        <v/>
      </c>
      <c r="CB67" s="42" t="str">
        <f t="shared" ref="CB67:CB69" si="70">IF(W67&gt;1,(SLOPE(AS67:AX67, BC67:BH67)),"")</f>
        <v/>
      </c>
      <c r="CC67" s="42" t="str">
        <f t="shared" ref="CC67:CC73" si="71">IF(X67&gt;1,(SLOPE(AS67:AY67, BC67:BI67)),"")</f>
        <v/>
      </c>
      <c r="CD67" s="42" t="str">
        <f t="shared" ref="CD67:CD73" si="72">IF(X67&gt;1,(SLOPE(AS67:AZ67, BC67:BJ67)),"")</f>
        <v/>
      </c>
      <c r="CE67" s="42" t="str">
        <f t="shared" ref="CE67:CE73" si="73">IF(Y67&gt;1,(SLOPE(AS67:BA67, BC67:BK67)),"")</f>
        <v/>
      </c>
      <c r="CH67" s="42" t="e">
        <f>IF(#REF!&gt;0,((4-BN67)/(SLOPE($AS67:AT67, $BC67:BD67))),"")</f>
        <v>#REF!</v>
      </c>
      <c r="CI67" s="42">
        <f>IF(T67&gt;0,((4-BO67)/(SLOPE($AS67:AU67, $BC67:BE67))),"")</f>
        <v>111.63999528913392</v>
      </c>
      <c r="CJ67" s="42">
        <f>IF(S67&gt;0,((4-BP67)/(SLOPE($AS67:AV67, $BC67:BF67))),"")</f>
        <v>111.63999528913392</v>
      </c>
      <c r="CK67" s="42" t="str">
        <f>IF(V67&gt;0,((4-BQ67)/(SLOPE($AS67:AW67, $BC67:BG67))),"")</f>
        <v/>
      </c>
      <c r="CL67" s="42" t="str">
        <f>IF(W67&gt;0,((4-BR67)/(SLOPE($AS67:AX67, $BC67:BH67))),"")</f>
        <v/>
      </c>
      <c r="CM67" s="42" t="str">
        <f>IF(X67&gt;0,((4-BS67)/(SLOPE($AS67:AY67, $BC67:BI67))),"")</f>
        <v/>
      </c>
      <c r="CN67" s="42" t="str">
        <f>IF(Y67&gt;0,((4-BT67)/(SLOPE($AS67:AZ67, $BC67:BJ67))),"")</f>
        <v/>
      </c>
      <c r="CO67" s="42" t="str">
        <f>IF(Z67&gt;0,((4-BU67)/(SLOPE($AS67:BA67, $BC67:BK67))),"")</f>
        <v/>
      </c>
    </row>
    <row r="68" spans="1:93">
      <c r="A68" s="42">
        <v>58</v>
      </c>
      <c r="B68" s="123" t="s">
        <v>617</v>
      </c>
      <c r="C68" s="46" t="s">
        <v>149</v>
      </c>
      <c r="D68" s="132" t="s">
        <v>491</v>
      </c>
      <c r="E68" s="45" t="s">
        <v>35</v>
      </c>
      <c r="F68" s="52" t="s">
        <v>63</v>
      </c>
      <c r="G68" s="52"/>
      <c r="H68" s="52" t="s">
        <v>152</v>
      </c>
      <c r="I68" s="52" t="s">
        <v>590</v>
      </c>
      <c r="J68" s="62" t="s">
        <v>593</v>
      </c>
      <c r="K68" s="62">
        <v>21</v>
      </c>
      <c r="L68" s="62">
        <v>2</v>
      </c>
      <c r="M68" s="72" cm="1">
        <f t="array" ref="M68">LOOKUP(2,1/(ISNUMBER(BX68:CE68)),BX68:CE68)</f>
        <v>-1.765535927469486E-2</v>
      </c>
      <c r="N68" s="72" cm="1">
        <f t="array" ref="N68">LOOKUP(2,1/(ISNUMBER(CH68:CO68)),CH68:CO68)</f>
        <v>100.40037242218401</v>
      </c>
      <c r="O68" s="67">
        <v>4770000000</v>
      </c>
      <c r="P68" s="67">
        <v>522000000</v>
      </c>
      <c r="Q68" s="59">
        <f t="shared" si="66"/>
        <v>0.82094114071344038</v>
      </c>
      <c r="R68" s="68">
        <v>639000</v>
      </c>
      <c r="S68" s="43">
        <v>386666.66666666663</v>
      </c>
      <c r="T68" s="43">
        <v>343999.99999999994</v>
      </c>
      <c r="AC68" s="43">
        <v>18330.30277982336</v>
      </c>
      <c r="AJ68" s="44">
        <v>45014</v>
      </c>
      <c r="AK68" s="44">
        <v>45021</v>
      </c>
      <c r="AL68" s="44">
        <v>45029</v>
      </c>
      <c r="AS68" s="42">
        <f t="shared" si="61"/>
        <v>5.8055008581583998</v>
      </c>
      <c r="AT68" s="42">
        <f t="shared" si="62"/>
        <v>5.5873367345072564</v>
      </c>
      <c r="AU68" s="42">
        <f t="shared" si="63"/>
        <v>5.53655844257153</v>
      </c>
      <c r="AV68" s="42">
        <f>IF(T68&gt;0,(LOG(T68)),"")</f>
        <v>5.53655844257153</v>
      </c>
      <c r="AW68" s="42" t="str">
        <f t="shared" si="55"/>
        <v/>
      </c>
      <c r="AX68" s="42" t="str">
        <f t="shared" si="56"/>
        <v/>
      </c>
      <c r="AY68" s="42" t="str">
        <f t="shared" si="58"/>
        <v/>
      </c>
      <c r="AZ68" s="42" t="str">
        <f t="shared" si="59"/>
        <v/>
      </c>
      <c r="BA68" s="42" t="str">
        <f t="shared" si="60"/>
        <v/>
      </c>
      <c r="BC68" s="42">
        <f t="shared" si="34"/>
        <v>0</v>
      </c>
      <c r="BD68" s="42">
        <f t="shared" si="41"/>
        <v>7</v>
      </c>
      <c r="BE68" s="42">
        <f t="shared" si="35"/>
        <v>15</v>
      </c>
      <c r="BF68" s="42" t="str">
        <f t="shared" si="36"/>
        <v/>
      </c>
      <c r="BG68" s="42" t="str">
        <f t="shared" si="37"/>
        <v/>
      </c>
      <c r="BH68" s="42" t="str">
        <f t="shared" si="37"/>
        <v/>
      </c>
      <c r="BN68" s="42">
        <f>INTERCEPT($AS68:AT68,$BC68:BD68)</f>
        <v>5.8055008581583998</v>
      </c>
      <c r="BO68" s="42">
        <f>INTERCEPT($AS68:AU68,$BC68:BE68)</f>
        <v>5.7726046464268244</v>
      </c>
      <c r="BP68" s="42">
        <f>INTERCEPT($AS68:AV68,$BC68:BF68)</f>
        <v>5.7726046464268244</v>
      </c>
      <c r="BQ68" s="42">
        <f>INTERCEPT($AS68:AW68,$BC68:BG68)</f>
        <v>5.7726046464268244</v>
      </c>
      <c r="BR68" s="42">
        <f>INTERCEPT($AS68:AX68,$BC68:BH68)</f>
        <v>5.7726046464268244</v>
      </c>
      <c r="BS68" s="42">
        <f>INTERCEPT($AS68:AY68,$BC68:BI68)</f>
        <v>5.7726046464268244</v>
      </c>
      <c r="BT68" s="42">
        <f>INTERCEPT($AS68:AZ68,$BC68:BJ68)</f>
        <v>5.7726046464268244</v>
      </c>
      <c r="BU68" s="42">
        <f>INTERCEPT($AS68:BA68,$BC68:BK68)</f>
        <v>5.7726046464268244</v>
      </c>
      <c r="BX68" s="42">
        <f t="shared" si="67"/>
        <v>-3.1166303378734765E-2</v>
      </c>
      <c r="BY68" s="42">
        <f t="shared" si="68"/>
        <v>-1.765535927469486E-2</v>
      </c>
      <c r="BZ68" s="42">
        <f t="shared" si="65"/>
        <v>-1.765535927469486E-2</v>
      </c>
      <c r="CA68" s="42" t="str">
        <f t="shared" si="69"/>
        <v/>
      </c>
      <c r="CB68" s="42" t="str">
        <f t="shared" si="70"/>
        <v/>
      </c>
      <c r="CC68" s="42" t="str">
        <f t="shared" si="71"/>
        <v/>
      </c>
      <c r="CD68" s="42" t="str">
        <f t="shared" si="72"/>
        <v/>
      </c>
      <c r="CE68" s="42" t="str">
        <f t="shared" si="73"/>
        <v/>
      </c>
      <c r="CH68" s="42" t="e">
        <f>IF(#REF!&gt;0,((4-BN68)/(SLOPE($AS68:AT68, $BC68:BD68))),"")</f>
        <v>#REF!</v>
      </c>
      <c r="CI68" s="42">
        <f>IF(T68&gt;0,((4-BO68)/(SLOPE($AS68:AU68, $BC68:BE68))),"")</f>
        <v>100.40037242218401</v>
      </c>
      <c r="CJ68" s="42">
        <f>IF(S68&gt;0,((4-BP68)/(SLOPE($AS68:AV68, $BC68:BF68))),"")</f>
        <v>100.40037242218401</v>
      </c>
      <c r="CK68" s="42" t="str">
        <f>IF(V68&gt;0,((4-BQ68)/(SLOPE($AS68:AW68, $BC68:BG68))),"")</f>
        <v/>
      </c>
      <c r="CL68" s="42" t="str">
        <f>IF(W68&gt;0,((4-BR68)/(SLOPE($AS68:AX68, $BC68:BH68))),"")</f>
        <v/>
      </c>
      <c r="CM68" s="42" t="str">
        <f>IF(X68&gt;0,((4-BS68)/(SLOPE($AS68:AY68, $BC68:BI68))),"")</f>
        <v/>
      </c>
      <c r="CN68" s="42" t="str">
        <f>IF(Y68&gt;0,((4-BT68)/(SLOPE($AS68:AZ68, $BC68:BJ68))),"")</f>
        <v/>
      </c>
      <c r="CO68" s="42" t="str">
        <f>IF(Z68&gt;0,((4-BU68)/(SLOPE($AS68:BA68, $BC68:BK68))),"")</f>
        <v/>
      </c>
    </row>
    <row r="69" spans="1:93">
      <c r="A69" s="42">
        <v>69</v>
      </c>
      <c r="B69" s="123" t="s">
        <v>618</v>
      </c>
      <c r="C69" s="123" t="s">
        <v>300</v>
      </c>
      <c r="D69" s="133" t="s">
        <v>301</v>
      </c>
      <c r="E69" s="45" t="s">
        <v>61</v>
      </c>
      <c r="F69" s="52" t="s">
        <v>63</v>
      </c>
      <c r="H69" s="55" t="s">
        <v>303</v>
      </c>
      <c r="I69" s="55" t="s">
        <v>463</v>
      </c>
      <c r="J69" s="62" t="s">
        <v>544</v>
      </c>
      <c r="M69" s="72" cm="1">
        <f t="array" ref="M69">LOOKUP(2,1/(ISNUMBER(BX69:CE69)),BX69:CE69)</f>
        <v>-5.0665245286829586E-2</v>
      </c>
      <c r="N69" s="72" cm="1">
        <f t="array" ref="N69">LOOKUP(2,1/(ISNUMBER(CH69:CO69)),CH69:CO69)</f>
        <v>10.884186879012766</v>
      </c>
      <c r="O69" s="76">
        <v>537777777.77777779</v>
      </c>
      <c r="P69" s="67">
        <v>21430335.024428789</v>
      </c>
      <c r="Q69" s="59">
        <f t="shared" si="66"/>
        <v>1.127076474063939</v>
      </c>
      <c r="R69" s="77">
        <v>35599.999999999993</v>
      </c>
      <c r="S69" s="43">
        <v>13999.999999999998</v>
      </c>
      <c r="AB69" s="43">
        <v>2227.1057451320085</v>
      </c>
      <c r="AJ69" s="44">
        <v>45020</v>
      </c>
      <c r="AK69" s="44">
        <v>45028</v>
      </c>
      <c r="AS69" s="42">
        <f t="shared" si="61"/>
        <v>4.5514499979728749</v>
      </c>
      <c r="AT69" s="42">
        <f t="shared" si="62"/>
        <v>4.1461280356782382</v>
      </c>
      <c r="AU69" s="42" t="str">
        <f t="shared" si="63"/>
        <v/>
      </c>
      <c r="AV69" s="42">
        <f t="shared" ref="AV69:AV86" si="74">IF(S69&gt;0,(LOG(S69)),"")</f>
        <v>4.1461280356782382</v>
      </c>
      <c r="AW69" s="42" t="str">
        <f t="shared" si="55"/>
        <v/>
      </c>
      <c r="AX69" s="42" t="str">
        <f t="shared" si="56"/>
        <v/>
      </c>
      <c r="BC69" s="42">
        <f t="shared" si="34"/>
        <v>0</v>
      </c>
      <c r="BD69" s="42">
        <f t="shared" si="41"/>
        <v>8</v>
      </c>
      <c r="BE69" s="42" t="str">
        <f t="shared" si="35"/>
        <v/>
      </c>
      <c r="BF69" s="42" t="str">
        <f t="shared" si="36"/>
        <v/>
      </c>
      <c r="BG69" s="42" t="str">
        <f t="shared" si="37"/>
        <v/>
      </c>
      <c r="BH69" s="42" t="str">
        <f t="shared" si="37"/>
        <v/>
      </c>
      <c r="BN69" s="42">
        <f>INTERCEPT($AS69:AT69,$BC69:BD69)</f>
        <v>4.551449997972874</v>
      </c>
      <c r="BO69" s="42">
        <f>INTERCEPT($AS69:AU69,$BC69:BE69)</f>
        <v>4.551449997972874</v>
      </c>
      <c r="BP69" s="42">
        <f>INTERCEPT($AS69:AV69,$BC69:BF69)</f>
        <v>4.551449997972874</v>
      </c>
      <c r="BQ69" s="42">
        <f>INTERCEPT($AS69:AW69,$BC69:BG69)</f>
        <v>4.551449997972874</v>
      </c>
      <c r="BR69" s="42">
        <f>INTERCEPT($AS69:AX69,$BC69:BH69)</f>
        <v>4.551449997972874</v>
      </c>
      <c r="BS69" s="42">
        <f>INTERCEPT($AS69:AY69,$BC69:BI69)</f>
        <v>4.551449997972874</v>
      </c>
      <c r="BT69" s="42">
        <f>INTERCEPT($AS69:AZ69,$BC69:BJ69)</f>
        <v>4.551449997972874</v>
      </c>
      <c r="BU69" s="42">
        <f>INTERCEPT($AS69:BA69,$BC69:BK69)</f>
        <v>4.551449997972874</v>
      </c>
      <c r="BX69" s="42">
        <f t="shared" si="67"/>
        <v>-5.0665245286829586E-2</v>
      </c>
      <c r="BY69" s="42" t="str">
        <f t="shared" si="68"/>
        <v/>
      </c>
      <c r="BZ69" s="42">
        <f t="shared" si="65"/>
        <v>-5.0665245286829586E-2</v>
      </c>
      <c r="CA69" s="42" t="str">
        <f t="shared" si="69"/>
        <v/>
      </c>
      <c r="CB69" s="42" t="str">
        <f t="shared" si="70"/>
        <v/>
      </c>
      <c r="CC69" s="42" t="str">
        <f t="shared" si="71"/>
        <v/>
      </c>
      <c r="CD69" s="42" t="str">
        <f t="shared" si="72"/>
        <v/>
      </c>
      <c r="CE69" s="42" t="str">
        <f t="shared" si="73"/>
        <v/>
      </c>
      <c r="CH69" s="42" t="e">
        <f>IF(#REF!&gt;0,((4-BN69)/(SLOPE($AS69:AT69, $BC69:BD69))),"")</f>
        <v>#REF!</v>
      </c>
      <c r="CI69" s="42" t="str">
        <f>IF(T69&gt;0,((4-BO69)/(SLOPE($AS69:AU69, $BC69:BE69))),"")</f>
        <v/>
      </c>
      <c r="CJ69" s="42">
        <f>IF(S69&gt;0,((4-BP69)/(SLOPE($AS69:AV69, $BC69:BF69))),"")</f>
        <v>10.884186879012766</v>
      </c>
      <c r="CK69" s="42" t="str">
        <f>IF(V69&gt;0,((4-BQ69)/(SLOPE($AS69:AW69, $BC69:BG69))),"")</f>
        <v/>
      </c>
      <c r="CL69" s="42" t="str">
        <f>IF(W69&gt;0,((4-BR69)/(SLOPE($AS69:AX69, $BC69:BH69))),"")</f>
        <v/>
      </c>
      <c r="CM69" s="42" t="str">
        <f>IF(X69&gt;0,((4-BS69)/(SLOPE($AS69:AY69, $BC69:BI69))),"")</f>
        <v/>
      </c>
      <c r="CN69" s="42" t="str">
        <f>IF(Y69&gt;0,((4-BT69)/(SLOPE($AS69:AZ69, $BC69:BJ69))),"")</f>
        <v/>
      </c>
      <c r="CO69" s="42" t="str">
        <f>IF(Z69&gt;0,((4-BU69)/(SLOPE($AS69:BA69, $BC69:BK69))),"")</f>
        <v/>
      </c>
    </row>
    <row r="70" spans="1:93">
      <c r="A70" s="42">
        <v>70</v>
      </c>
      <c r="B70" s="123" t="s">
        <v>618</v>
      </c>
      <c r="C70" s="123" t="s">
        <v>300</v>
      </c>
      <c r="D70" s="123" t="s">
        <v>619</v>
      </c>
      <c r="E70" s="45" t="s">
        <v>61</v>
      </c>
      <c r="F70" s="52" t="s">
        <v>63</v>
      </c>
      <c r="H70" s="2" t="s">
        <v>303</v>
      </c>
      <c r="I70" s="55" t="s">
        <v>463</v>
      </c>
      <c r="J70" s="62" t="s">
        <v>544</v>
      </c>
      <c r="M70" s="72" cm="1">
        <f t="array" ref="M70">LOOKUP(2,1/(ISNUMBER(BX70:CE70)),BX70:CE70)</f>
        <v>-8.9616530818843465E-3</v>
      </c>
      <c r="N70" s="72" cm="1">
        <f t="array" ref="N70">LOOKUP(2,1/(ISNUMBER(CH70:CO70)),CH70:CO70)</f>
        <v>54.305446570976024</v>
      </c>
      <c r="O70" s="76">
        <v>453333333.33333337</v>
      </c>
      <c r="P70" s="76">
        <v>117189305.5416463</v>
      </c>
      <c r="Q70" s="59">
        <f t="shared" si="66"/>
        <v>1.1176747008563881</v>
      </c>
      <c r="R70" s="77">
        <v>30666.666666666661</v>
      </c>
      <c r="S70" s="43">
        <v>25999.999999999996</v>
      </c>
      <c r="AB70" s="43">
        <v>9457.2723340295106</v>
      </c>
      <c r="AJ70" s="44">
        <v>45020</v>
      </c>
      <c r="AK70" s="44">
        <v>45028</v>
      </c>
      <c r="AS70" s="42">
        <f t="shared" si="61"/>
        <v>4.486666572625893</v>
      </c>
      <c r="AT70" s="42">
        <f t="shared" si="62"/>
        <v>4.4149733479708182</v>
      </c>
      <c r="AU70" s="42" t="str">
        <f t="shared" si="63"/>
        <v/>
      </c>
      <c r="AV70" s="42">
        <f t="shared" si="74"/>
        <v>4.4149733479708182</v>
      </c>
      <c r="AW70" s="42" t="str">
        <f t="shared" si="55"/>
        <v/>
      </c>
      <c r="AX70" s="42" t="str">
        <f t="shared" si="56"/>
        <v/>
      </c>
      <c r="BC70" s="42">
        <f t="shared" si="34"/>
        <v>0</v>
      </c>
      <c r="BD70" s="42">
        <f t="shared" si="41"/>
        <v>8</v>
      </c>
      <c r="BE70" s="42" t="str">
        <f t="shared" ref="BE70:BE84" si="75">IF(AL70&gt;1,(AL70-$AJ70),"")</f>
        <v/>
      </c>
      <c r="BF70" s="42" t="str">
        <f t="shared" ref="BF70:BF84" si="76">IF(AM70&gt;1,(AM70-$AJ70),"")</f>
        <v/>
      </c>
      <c r="BG70" s="42" t="str">
        <f t="shared" si="37"/>
        <v/>
      </c>
      <c r="BH70" s="42" t="str">
        <f t="shared" si="37"/>
        <v/>
      </c>
      <c r="BN70" s="42">
        <f>INTERCEPT($AS70:AT70,$BC70:BD70)</f>
        <v>4.486666572625893</v>
      </c>
      <c r="BO70" s="42">
        <f>INTERCEPT($AS70:AU70,$BC70:BE70)</f>
        <v>4.486666572625893</v>
      </c>
      <c r="BP70" s="42">
        <f>INTERCEPT($AS70:AV70,$BC70:BF70)</f>
        <v>4.486666572625893</v>
      </c>
      <c r="BQ70" s="42">
        <f>INTERCEPT($AS70:AW70,$BC70:BG70)</f>
        <v>4.486666572625893</v>
      </c>
      <c r="BR70" s="42">
        <f>INTERCEPT($AS70:AX70,$BC70:BH70)</f>
        <v>4.486666572625893</v>
      </c>
      <c r="BS70" s="42">
        <f>INTERCEPT($AS70:AY70,$BC70:BI70)</f>
        <v>4.486666572625893</v>
      </c>
      <c r="BT70" s="42">
        <f>INTERCEPT($AS70:AZ70,$BC70:BJ70)</f>
        <v>4.486666572625893</v>
      </c>
      <c r="BU70" s="42">
        <f>INTERCEPT($AS70:BA70,$BC70:BK70)</f>
        <v>4.486666572625893</v>
      </c>
      <c r="BX70" s="42">
        <f t="shared" si="67"/>
        <v>-8.9616530818843465E-3</v>
      </c>
      <c r="BY70" s="42" t="str">
        <f t="shared" ref="BY70:BY85" si="77">IF(T70&gt;1,(SLOPE(AS70:AU70, BC70:BE70)),"")</f>
        <v/>
      </c>
      <c r="BZ70" s="42">
        <f t="shared" ref="BZ70:BZ87" si="78">IF(S70&gt;1,(SLOPE(AS70:AV70, BC70:BF70)),"")</f>
        <v>-8.9616530818843465E-3</v>
      </c>
      <c r="CA70" s="42" t="str">
        <f t="shared" si="69"/>
        <v/>
      </c>
      <c r="CB70" s="42" t="str">
        <f t="shared" ref="CB70:CB73" si="79">IF(W70&gt;1,(SLOPE(AS70:AX70, BC70:BH70)),"")</f>
        <v/>
      </c>
      <c r="CC70" s="42" t="str">
        <f t="shared" si="71"/>
        <v/>
      </c>
      <c r="CD70" s="42" t="str">
        <f t="shared" si="72"/>
        <v/>
      </c>
      <c r="CE70" s="42" t="str">
        <f t="shared" si="73"/>
        <v/>
      </c>
      <c r="CH70" s="42">
        <f>IF(S70&gt;0,((4-BN70)/(SLOPE($AS70:AT70, $BC70:BD70))),"")</f>
        <v>54.305446570976024</v>
      </c>
      <c r="CI70" s="42" t="str">
        <f>IF(T70&gt;0,((4-BO70)/(SLOPE($AS70:AU70, $BC70:BE70))),"")</f>
        <v/>
      </c>
      <c r="CJ70" s="42">
        <f>IF(S70&gt;0,((4-BP70)/(SLOPE($AS70:AV70, $BC70:BF70))),"")</f>
        <v>54.305446570976024</v>
      </c>
      <c r="CK70" s="42" t="str">
        <f>IF(V70&gt;0,((4-BQ70)/(SLOPE($AS70:AW70, $BC70:BG70))),"")</f>
        <v/>
      </c>
      <c r="CL70" s="42" t="str">
        <f>IF(W70&gt;0,((4-BR70)/(SLOPE($AS70:AX70, $BC70:BH70))),"")</f>
        <v/>
      </c>
      <c r="CM70" s="42" t="str">
        <f>IF(X70&gt;0,((4-BS70)/(SLOPE($AS70:AY70, $BC70:BI70))),"")</f>
        <v/>
      </c>
      <c r="CN70" s="42" t="str">
        <f>IF(Y70&gt;0,((4-BT70)/(SLOPE($AS70:AZ70, $BC70:BJ70))),"")</f>
        <v/>
      </c>
      <c r="CO70" s="42" t="str">
        <f>IF(Z70&gt;0,((4-BU70)/(SLOPE($AS70:BA70, $BC70:BK70))),"")</f>
        <v/>
      </c>
    </row>
    <row r="71" spans="1:93">
      <c r="A71" s="42">
        <v>71</v>
      </c>
      <c r="B71" s="123" t="s">
        <v>618</v>
      </c>
      <c r="C71" s="129" t="s">
        <v>305</v>
      </c>
      <c r="D71" s="123" t="s">
        <v>306</v>
      </c>
      <c r="E71" s="45" t="s">
        <v>61</v>
      </c>
      <c r="F71" s="52" t="s">
        <v>63</v>
      </c>
      <c r="H71" s="2" t="s">
        <v>308</v>
      </c>
      <c r="I71" s="55" t="s">
        <v>457</v>
      </c>
      <c r="J71" s="62" t="s">
        <v>544</v>
      </c>
      <c r="M71" s="72" cm="1">
        <f t="array" ref="M71">LOOKUP(2,1/(ISNUMBER(BX71:CE71)),BX71:CE71)</f>
        <v>-3.1646172501942682E-2</v>
      </c>
      <c r="N71" s="72" cm="1">
        <f t="array" ref="N71">LOOKUP(2,1/(ISNUMBER(CH71:CO71)),CH71:CO71)</f>
        <v>13.866004078392635</v>
      </c>
      <c r="O71" s="76">
        <v>528888888.8888889</v>
      </c>
      <c r="P71" s="76">
        <v>30792014.356780037</v>
      </c>
      <c r="Q71" s="59">
        <f t="shared" si="66"/>
        <v>1.2324821061354418</v>
      </c>
      <c r="R71" s="77">
        <v>27466.666666666661</v>
      </c>
      <c r="S71" s="43">
        <v>15333.33333333333</v>
      </c>
      <c r="AB71" s="43">
        <v>4738.4948383778319</v>
      </c>
      <c r="AJ71" s="44">
        <v>45020</v>
      </c>
      <c r="AK71" s="44">
        <v>45028</v>
      </c>
      <c r="AS71" s="42">
        <f t="shared" si="61"/>
        <v>4.4388059569774532</v>
      </c>
      <c r="AT71" s="42">
        <f t="shared" si="62"/>
        <v>4.1856365769619117</v>
      </c>
      <c r="AU71" s="42" t="str">
        <f t="shared" si="63"/>
        <v/>
      </c>
      <c r="AV71" s="42">
        <f t="shared" si="74"/>
        <v>4.1856365769619117</v>
      </c>
      <c r="AW71" s="42" t="str">
        <f t="shared" si="55"/>
        <v/>
      </c>
      <c r="AX71" s="42" t="str">
        <f t="shared" si="56"/>
        <v/>
      </c>
      <c r="BC71" s="42">
        <f t="shared" si="34"/>
        <v>0</v>
      </c>
      <c r="BD71" s="42">
        <f t="shared" si="41"/>
        <v>8</v>
      </c>
      <c r="BE71" s="42" t="str">
        <f t="shared" si="75"/>
        <v/>
      </c>
      <c r="BF71" s="42" t="str">
        <f t="shared" si="76"/>
        <v/>
      </c>
      <c r="BG71" s="42" t="str">
        <f t="shared" si="37"/>
        <v/>
      </c>
      <c r="BH71" s="42" t="str">
        <f t="shared" si="37"/>
        <v/>
      </c>
      <c r="BN71" s="42">
        <f>INTERCEPT($AS71:AT71,$BC71:BD71)</f>
        <v>4.4388059569774541</v>
      </c>
      <c r="BO71" s="42">
        <f>INTERCEPT($AS71:AU71,$BC71:BE71)</f>
        <v>4.4388059569774541</v>
      </c>
      <c r="BP71" s="42">
        <f>INTERCEPT($AS71:AV71,$BC71:BF71)</f>
        <v>4.4388059569774541</v>
      </c>
      <c r="BQ71" s="42">
        <f>INTERCEPT($AS71:AW71,$BC71:BG71)</f>
        <v>4.4388059569774541</v>
      </c>
      <c r="BR71" s="42">
        <f>INTERCEPT($AS71:AX71,$BC71:BH71)</f>
        <v>4.4388059569774541</v>
      </c>
      <c r="BS71" s="42">
        <f>INTERCEPT($AS71:AY71,$BC71:BI71)</f>
        <v>4.4388059569774541</v>
      </c>
      <c r="BT71" s="42">
        <f>INTERCEPT($AS71:AZ71,$BC71:BJ71)</f>
        <v>4.4388059569774541</v>
      </c>
      <c r="BU71" s="42">
        <f>INTERCEPT($AS71:BA71,$BC71:BK71)</f>
        <v>4.4388059569774541</v>
      </c>
      <c r="BX71" s="42">
        <f t="shared" si="67"/>
        <v>-3.1646172501942682E-2</v>
      </c>
      <c r="BY71" s="42" t="str">
        <f t="shared" si="77"/>
        <v/>
      </c>
      <c r="BZ71" s="42">
        <f t="shared" si="78"/>
        <v>-3.1646172501942682E-2</v>
      </c>
      <c r="CA71" s="42" t="str">
        <f t="shared" si="69"/>
        <v/>
      </c>
      <c r="CB71" s="42" t="str">
        <f t="shared" si="79"/>
        <v/>
      </c>
      <c r="CC71" s="42" t="str">
        <f t="shared" si="71"/>
        <v/>
      </c>
      <c r="CD71" s="42" t="str">
        <f t="shared" si="72"/>
        <v/>
      </c>
      <c r="CE71" s="42" t="str">
        <f t="shared" si="73"/>
        <v/>
      </c>
      <c r="CH71" s="42">
        <f>IF(S71&gt;0,((4-BN71)/(SLOPE($AS71:AT71, $BC71:BD71))),"")</f>
        <v>13.866004078392635</v>
      </c>
      <c r="CI71" s="42" t="str">
        <f>IF(T71&gt;0,((4-BO71)/(SLOPE($AS71:AU71, $BC71:BE71))),"")</f>
        <v/>
      </c>
      <c r="CJ71" s="42">
        <f>IF(S71&gt;0,((4-BP71)/(SLOPE($AS71:AV71, $BC71:BF71))),"")</f>
        <v>13.866004078392635</v>
      </c>
      <c r="CK71" s="42" t="str">
        <f>IF(V71&gt;0,((4-BQ71)/(SLOPE($AS71:AW71, $BC71:BG71))),"")</f>
        <v/>
      </c>
      <c r="CL71" s="42" t="str">
        <f>IF(W71&gt;0,((4-BR71)/(SLOPE($AS71:AX71, $BC71:BH71))),"")</f>
        <v/>
      </c>
      <c r="CM71" s="42" t="str">
        <f>IF(X71&gt;0,((4-BS71)/(SLOPE($AS71:AY71, $BC71:BI71))),"")</f>
        <v/>
      </c>
      <c r="CN71" s="42" t="str">
        <f>IF(Y71&gt;0,((4-BT71)/(SLOPE($AS71:AZ71, $BC71:BJ71))),"")</f>
        <v/>
      </c>
      <c r="CO71" s="42" t="str">
        <f>IF(Z71&gt;0,((4-BU71)/(SLOPE($AS71:BA71, $BC71:BK71))),"")</f>
        <v/>
      </c>
    </row>
    <row r="72" spans="1:93">
      <c r="A72" s="42">
        <v>72</v>
      </c>
      <c r="B72" s="123" t="s">
        <v>618</v>
      </c>
      <c r="C72" s="124" t="s">
        <v>305</v>
      </c>
      <c r="D72" s="123" t="s">
        <v>620</v>
      </c>
      <c r="E72" s="45" t="s">
        <v>61</v>
      </c>
      <c r="F72" s="52" t="s">
        <v>63</v>
      </c>
      <c r="H72" s="2" t="s">
        <v>308</v>
      </c>
      <c r="I72" s="55" t="s">
        <v>457</v>
      </c>
      <c r="J72" s="62" t="s">
        <v>544</v>
      </c>
      <c r="M72" s="72" cm="1">
        <f t="array" ref="M72">LOOKUP(2,1/(ISNUMBER(BX72:CE72)),BX72:CE72)</f>
        <v>-1.8908459416331236E-2</v>
      </c>
      <c r="N72" s="72" cm="1">
        <f t="array" ref="N72">LOOKUP(2,1/(ISNUMBER(CH72:CO72)),CH72:CO72)</f>
        <v>26.523350349296734</v>
      </c>
      <c r="O72" s="76">
        <v>544444444.44444442</v>
      </c>
      <c r="P72" s="76">
        <v>151192788.38376942</v>
      </c>
      <c r="Q72" s="59">
        <f t="shared" si="66"/>
        <v>1.1823614967561031</v>
      </c>
      <c r="R72" s="77">
        <v>31733.333333333328</v>
      </c>
      <c r="S72" s="43">
        <v>22399.999999999996</v>
      </c>
      <c r="AB72" s="43">
        <v>4326.6615305567866</v>
      </c>
      <c r="AJ72" s="44">
        <v>45020</v>
      </c>
      <c r="AK72" s="44">
        <v>45028</v>
      </c>
      <c r="AS72" s="42">
        <f t="shared" si="61"/>
        <v>4.5015156936648122</v>
      </c>
      <c r="AT72" s="42">
        <f t="shared" si="62"/>
        <v>4.3502480183341623</v>
      </c>
      <c r="AU72" s="42" t="str">
        <f t="shared" si="63"/>
        <v/>
      </c>
      <c r="AV72" s="42">
        <f t="shared" si="74"/>
        <v>4.3502480183341623</v>
      </c>
      <c r="AW72" s="42" t="str">
        <f t="shared" si="55"/>
        <v/>
      </c>
      <c r="AX72" s="42" t="str">
        <f t="shared" si="56"/>
        <v/>
      </c>
      <c r="BC72" s="42">
        <f t="shared" si="34"/>
        <v>0</v>
      </c>
      <c r="BD72" s="42">
        <f t="shared" si="41"/>
        <v>8</v>
      </c>
      <c r="BE72" s="42" t="str">
        <f t="shared" si="75"/>
        <v/>
      </c>
      <c r="BF72" s="42" t="str">
        <f t="shared" si="76"/>
        <v/>
      </c>
      <c r="BG72" s="42" t="str">
        <f t="shared" si="37"/>
        <v/>
      </c>
      <c r="BH72" s="42" t="str">
        <f t="shared" si="37"/>
        <v/>
      </c>
      <c r="BN72" s="42">
        <f>INTERCEPT($AS72:AT72,$BC72:BD72)</f>
        <v>4.5015156936648122</v>
      </c>
      <c r="BO72" s="42">
        <f>INTERCEPT($AS72:AU72,$BC72:BE72)</f>
        <v>4.5015156936648122</v>
      </c>
      <c r="BP72" s="42">
        <f>INTERCEPT($AS72:AV72,$BC72:BF72)</f>
        <v>4.5015156936648122</v>
      </c>
      <c r="BQ72" s="42">
        <f>INTERCEPT($AS72:AW72,$BC72:BG72)</f>
        <v>4.5015156936648122</v>
      </c>
      <c r="BR72" s="42">
        <f>INTERCEPT($AS72:AX72,$BC72:BH72)</f>
        <v>4.5015156936648122</v>
      </c>
      <c r="BS72" s="42">
        <f>INTERCEPT($AS72:AY72,$BC72:BI72)</f>
        <v>4.5015156936648122</v>
      </c>
      <c r="BT72" s="42">
        <f>INTERCEPT($AS72:AZ72,$BC72:BJ72)</f>
        <v>4.5015156936648122</v>
      </c>
      <c r="BU72" s="42">
        <f>INTERCEPT($AS72:BA72,$BC72:BK72)</f>
        <v>4.5015156936648122</v>
      </c>
      <c r="BX72" s="42">
        <f t="shared" si="67"/>
        <v>-1.8908459416331236E-2</v>
      </c>
      <c r="BY72" s="42" t="str">
        <f t="shared" si="77"/>
        <v/>
      </c>
      <c r="BZ72" s="42">
        <f t="shared" si="78"/>
        <v>-1.8908459416331236E-2</v>
      </c>
      <c r="CA72" s="42" t="str">
        <f t="shared" si="69"/>
        <v/>
      </c>
      <c r="CB72" s="42" t="str">
        <f t="shared" si="79"/>
        <v/>
      </c>
      <c r="CC72" s="42" t="str">
        <f t="shared" si="71"/>
        <v/>
      </c>
      <c r="CD72" s="42" t="str">
        <f t="shared" si="72"/>
        <v/>
      </c>
      <c r="CE72" s="42" t="str">
        <f t="shared" si="73"/>
        <v/>
      </c>
      <c r="CH72" s="42">
        <f>IF(S72&gt;0,((4-BN72)/(SLOPE($AS72:AT72, $BC72:BD72))),"")</f>
        <v>26.523350349296734</v>
      </c>
      <c r="CI72" s="42" t="str">
        <f>IF(T72&gt;0,((4-BO72)/(SLOPE($AS72:AU72, $BC72:BE72))),"")</f>
        <v/>
      </c>
      <c r="CJ72" s="42">
        <f>IF(S72&gt;0,((4-BP72)/(SLOPE($AS72:AV72, $BC72:BF72))),"")</f>
        <v>26.523350349296734</v>
      </c>
      <c r="CK72" s="42" t="str">
        <f>IF(V72&gt;0,((4-BQ72)/(SLOPE($AS72:AW72, $BC72:BG72))),"")</f>
        <v/>
      </c>
      <c r="CL72" s="42" t="str">
        <f>IF(W72&gt;0,((4-BR72)/(SLOPE($AS72:AX72, $BC72:BH72))),"")</f>
        <v/>
      </c>
      <c r="CM72" s="42" t="str">
        <f>IF(X72&gt;0,((4-BS72)/(SLOPE($AS72:AY72, $BC72:BI72))),"")</f>
        <v/>
      </c>
      <c r="CN72" s="42" t="str">
        <f>IF(Y72&gt;0,((4-BT72)/(SLOPE($AS72:AZ72, $BC72:BJ72))),"")</f>
        <v/>
      </c>
      <c r="CO72" s="42" t="str">
        <f>IF(Z72&gt;0,((4-BU72)/(SLOPE($AS72:BA72, $BC72:BK72))),"")</f>
        <v/>
      </c>
    </row>
    <row r="73" spans="1:93">
      <c r="A73" s="42">
        <v>73</v>
      </c>
      <c r="B73" s="123" t="s">
        <v>618</v>
      </c>
      <c r="C73" s="124" t="s">
        <v>309</v>
      </c>
      <c r="D73" s="123" t="s">
        <v>310</v>
      </c>
      <c r="E73" s="45" t="s">
        <v>61</v>
      </c>
      <c r="F73" s="52" t="s">
        <v>63</v>
      </c>
      <c r="H73" s="2" t="s">
        <v>312</v>
      </c>
      <c r="I73" s="55" t="s">
        <v>527</v>
      </c>
      <c r="J73" s="62" t="s">
        <v>544</v>
      </c>
      <c r="M73" s="72" cm="1">
        <f t="array" ref="M73">LOOKUP(2,1/(ISNUMBER(BX73:CE73)),BX73:CE73)</f>
        <v>-5.0922020777537047E-2</v>
      </c>
      <c r="N73" s="72" cm="1">
        <f t="array" ref="N73">LOOKUP(2,1/(ISNUMBER(CH73:CO73)),CH73:CO73)</f>
        <v>-4.5096206029574466</v>
      </c>
      <c r="O73" s="76">
        <v>111111111.1111111</v>
      </c>
      <c r="P73" s="76">
        <v>20367003.088692605</v>
      </c>
      <c r="Q73" s="59">
        <f t="shared" si="66"/>
        <v>1.2233201044350097</v>
      </c>
      <c r="R73" s="77">
        <v>5893.3333333333321</v>
      </c>
      <c r="S73" s="43">
        <v>2306.6666666666665</v>
      </c>
      <c r="AB73" s="43">
        <v>340.19602192461451</v>
      </c>
      <c r="AJ73" s="44">
        <v>45020</v>
      </c>
      <c r="AK73" s="44">
        <v>45028</v>
      </c>
      <c r="AS73" s="42">
        <f t="shared" si="61"/>
        <v>3.7703610059573918</v>
      </c>
      <c r="AT73" s="42">
        <f t="shared" si="62"/>
        <v>3.3629848397370954</v>
      </c>
      <c r="AU73" s="42" t="str">
        <f t="shared" si="63"/>
        <v/>
      </c>
      <c r="AV73" s="42">
        <f t="shared" si="74"/>
        <v>3.3629848397370954</v>
      </c>
      <c r="AW73" s="42" t="str">
        <f t="shared" si="55"/>
        <v/>
      </c>
      <c r="AX73" s="42" t="str">
        <f t="shared" si="56"/>
        <v/>
      </c>
      <c r="BC73" s="42">
        <f t="shared" si="34"/>
        <v>0</v>
      </c>
      <c r="BD73" s="42">
        <f t="shared" si="41"/>
        <v>8</v>
      </c>
      <c r="BE73" s="42" t="str">
        <f t="shared" si="75"/>
        <v/>
      </c>
      <c r="BF73" s="42" t="str">
        <f t="shared" si="76"/>
        <v/>
      </c>
      <c r="BG73" s="42" t="str">
        <f t="shared" si="37"/>
        <v/>
      </c>
      <c r="BH73" s="42" t="str">
        <f t="shared" si="37"/>
        <v/>
      </c>
      <c r="BN73" s="42">
        <f>INTERCEPT($AS73:AT73,$BC73:BD73)</f>
        <v>3.7703610059573918</v>
      </c>
      <c r="BO73" s="42">
        <f>INTERCEPT($AS73:AU73,$BC73:BE73)</f>
        <v>3.7703610059573918</v>
      </c>
      <c r="BP73" s="42">
        <f>INTERCEPT($AS73:AV73,$BC73:BF73)</f>
        <v>3.7703610059573918</v>
      </c>
      <c r="BQ73" s="42">
        <f>INTERCEPT($AS73:AW73,$BC73:BG73)</f>
        <v>3.7703610059573918</v>
      </c>
      <c r="BR73" s="42">
        <f>INTERCEPT($AS73:AX73,$BC73:BH73)</f>
        <v>3.7703610059573918</v>
      </c>
      <c r="BS73" s="42">
        <f>INTERCEPT($AS73:AY73,$BC73:BI73)</f>
        <v>3.7703610059573918</v>
      </c>
      <c r="BT73" s="42">
        <f>INTERCEPT($AS73:AZ73,$BC73:BJ73)</f>
        <v>3.7703610059573918</v>
      </c>
      <c r="BU73" s="42">
        <f>INTERCEPT($AS73:BA73,$BC73:BK73)</f>
        <v>3.7703610059573918</v>
      </c>
      <c r="BX73" s="42">
        <f t="shared" si="67"/>
        <v>-5.0922020777537047E-2</v>
      </c>
      <c r="BY73" s="42" t="str">
        <f t="shared" si="77"/>
        <v/>
      </c>
      <c r="BZ73" s="42">
        <f t="shared" si="78"/>
        <v>-5.0922020777537047E-2</v>
      </c>
      <c r="CA73" s="42" t="str">
        <f t="shared" si="69"/>
        <v/>
      </c>
      <c r="CB73" s="42" t="str">
        <f t="shared" si="79"/>
        <v/>
      </c>
      <c r="CC73" s="42" t="str">
        <f t="shared" si="71"/>
        <v/>
      </c>
      <c r="CD73" s="42" t="str">
        <f t="shared" si="72"/>
        <v/>
      </c>
      <c r="CE73" s="42" t="str">
        <f t="shared" si="73"/>
        <v/>
      </c>
      <c r="CH73" s="42">
        <f>IF(S73&gt;0,((4-BN73)/(SLOPE($AS73:AT73, $BC73:BD73))),"")</f>
        <v>-4.5096206029574466</v>
      </c>
      <c r="CI73" s="42" t="str">
        <f>IF(T73&gt;0,((4-BO73)/(SLOPE($AS73:AU73, $BC73:BE73))),"")</f>
        <v/>
      </c>
      <c r="CJ73" s="42">
        <f>IF(S73&gt;0,((4-BP73)/(SLOPE($AS73:AV73, $BC73:BF73))),"")</f>
        <v>-4.5096206029574466</v>
      </c>
      <c r="CK73" s="42" t="str">
        <f>IF(V73&gt;0,((4-BQ73)/(SLOPE($AS73:AW73, $BC73:BG73))),"")</f>
        <v/>
      </c>
    </row>
    <row r="74" spans="1:93">
      <c r="A74" s="42">
        <v>74</v>
      </c>
      <c r="B74" s="123" t="s">
        <v>618</v>
      </c>
      <c r="C74" s="130" t="s">
        <v>309</v>
      </c>
      <c r="D74" s="123" t="s">
        <v>621</v>
      </c>
      <c r="E74" s="45" t="s">
        <v>61</v>
      </c>
      <c r="F74" s="52" t="s">
        <v>63</v>
      </c>
      <c r="H74" s="2" t="s">
        <v>312</v>
      </c>
      <c r="I74" s="55" t="s">
        <v>527</v>
      </c>
      <c r="J74" s="62" t="s">
        <v>544</v>
      </c>
      <c r="M74" s="72" cm="1">
        <f t="array" ref="M74">LOOKUP(2,1/(ISNUMBER(BX74:CE74)),BX74:CE74)</f>
        <v>-1.6679740174463997E-2</v>
      </c>
      <c r="N74" s="72" cm="1">
        <f t="array" ref="N74">LOOKUP(2,1/(ISNUMBER(CH74:CO74)),CH74:CO74)</f>
        <v>-20.294250226895272</v>
      </c>
      <c r="O74" s="76">
        <v>97777777.777777776</v>
      </c>
      <c r="P74" s="76">
        <v>34210676.262979217</v>
      </c>
      <c r="Q74" s="59">
        <f t="shared" si="66"/>
        <v>1.2766666033627398</v>
      </c>
      <c r="R74" s="77">
        <v>4586.6666666666661</v>
      </c>
      <c r="S74" s="43">
        <v>3373.333333333333</v>
      </c>
      <c r="AB74" s="43">
        <v>320.83225108042575</v>
      </c>
      <c r="AJ74" s="44">
        <v>45020</v>
      </c>
      <c r="AK74" s="44">
        <v>45028</v>
      </c>
      <c r="AS74" s="42">
        <f t="shared" si="61"/>
        <v>3.6614971791798299</v>
      </c>
      <c r="AT74" s="42">
        <f t="shared" si="62"/>
        <v>3.5280592577841179</v>
      </c>
      <c r="AU74" s="42" t="str">
        <f t="shared" si="63"/>
        <v/>
      </c>
      <c r="AV74" s="42">
        <f t="shared" si="74"/>
        <v>3.5280592577841179</v>
      </c>
      <c r="AW74" s="42" t="str">
        <f t="shared" si="55"/>
        <v/>
      </c>
      <c r="AX74" s="42" t="str">
        <f t="shared" si="56"/>
        <v/>
      </c>
      <c r="BC74" s="42">
        <f t="shared" si="34"/>
        <v>0</v>
      </c>
      <c r="BD74" s="42">
        <f t="shared" si="41"/>
        <v>8</v>
      </c>
      <c r="BE74" s="42" t="str">
        <f t="shared" si="75"/>
        <v/>
      </c>
      <c r="BF74" s="42" t="str">
        <f t="shared" si="76"/>
        <v/>
      </c>
      <c r="BG74" s="42" t="str">
        <f t="shared" si="37"/>
        <v/>
      </c>
      <c r="BH74" s="42" t="str">
        <f t="shared" si="37"/>
        <v/>
      </c>
      <c r="BN74" s="42">
        <f>INTERCEPT($AS74:AT74,$BC74:BD74)</f>
        <v>3.6614971791798299</v>
      </c>
      <c r="BO74" s="42">
        <f>INTERCEPT($AS74:AU74,$BC74:BE74)</f>
        <v>3.6614971791798299</v>
      </c>
      <c r="BP74" s="42">
        <f>INTERCEPT($AS74:AV74,$BC74:BF74)</f>
        <v>3.6614971791798299</v>
      </c>
      <c r="BQ74" s="42">
        <f>INTERCEPT($AS74:AW74,$BC74:BG74)</f>
        <v>3.6614971791798299</v>
      </c>
      <c r="BR74" s="42">
        <f>INTERCEPT($AS74:AX74,$BC74:BH74)</f>
        <v>3.6614971791798299</v>
      </c>
      <c r="BS74" s="42">
        <f>INTERCEPT($AS74:AY74,$BC74:BI74)</f>
        <v>3.6614971791798299</v>
      </c>
      <c r="BT74" s="42">
        <f>INTERCEPT($AS74:AZ74,$BC74:BJ74)</f>
        <v>3.6614971791798299</v>
      </c>
      <c r="BU74" s="42">
        <f>INTERCEPT($AS74:BA74,$BC74:BK74)</f>
        <v>3.6614971791798299</v>
      </c>
      <c r="BX74" s="42">
        <f t="shared" si="67"/>
        <v>-1.6679740174463997E-2</v>
      </c>
      <c r="BY74" s="42" t="str">
        <f t="shared" si="77"/>
        <v/>
      </c>
      <c r="BZ74" s="42">
        <f t="shared" si="78"/>
        <v>-1.6679740174463997E-2</v>
      </c>
      <c r="CA74" s="42" t="str">
        <f t="shared" si="69"/>
        <v/>
      </c>
      <c r="CH74" s="42">
        <f>IF(S74&gt;0,((4-BN74)/(SLOPE($AS74:AT74, $BC74:BD74))),"")</f>
        <v>-20.294250226895272</v>
      </c>
      <c r="CI74" s="42" t="str">
        <f>IF(T74&gt;0,((4-BO74)/(SLOPE($AS74:AU74, $BC74:BE74))),"")</f>
        <v/>
      </c>
      <c r="CJ74" s="42">
        <f>IF(S74&gt;0,((4-BP74)/(SLOPE($AS74:AV74, $BC74:BF74))),"")</f>
        <v>-20.294250226895272</v>
      </c>
      <c r="CK74" s="42" t="str">
        <f>IF(V74&gt;0,((4-BQ74)/(SLOPE($AS74:AW74, $BC74:BG74))),"")</f>
        <v/>
      </c>
    </row>
    <row r="75" spans="1:93">
      <c r="A75" s="42">
        <v>75</v>
      </c>
      <c r="B75" s="123" t="s">
        <v>50</v>
      </c>
      <c r="C75" s="123" t="s">
        <v>300</v>
      </c>
      <c r="D75" s="123" t="s">
        <v>330</v>
      </c>
      <c r="E75" s="45" t="s">
        <v>61</v>
      </c>
      <c r="F75" s="52" t="s">
        <v>63</v>
      </c>
      <c r="H75" s="2" t="s">
        <v>303</v>
      </c>
      <c r="I75" s="55" t="s">
        <v>463</v>
      </c>
      <c r="J75" s="62" t="s">
        <v>544</v>
      </c>
      <c r="M75" s="72" t="e" cm="1">
        <f t="array" ref="M75">LOOKUP(2,1/(ISNUMBER(BX75:CE75)),BX75:CE75)</f>
        <v>#N/A</v>
      </c>
      <c r="N75" s="72" t="e" cm="1">
        <f t="array" ref="N75">LOOKUP(2,1/(ISNUMBER(CH75:CO75)),CH75:CO75)</f>
        <v>#N/A</v>
      </c>
      <c r="O75" s="67">
        <v>3600000000</v>
      </c>
      <c r="P75" s="76">
        <v>301993377.41082996</v>
      </c>
      <c r="Q75" s="59">
        <f t="shared" si="66"/>
        <v>1.3148293947637955</v>
      </c>
      <c r="R75" s="77">
        <v>154666.66666666666</v>
      </c>
      <c r="AA75" s="43">
        <v>26025.628394590894</v>
      </c>
      <c r="AJ75" s="44">
        <v>45028</v>
      </c>
      <c r="AS75" s="42">
        <f t="shared" si="61"/>
        <v>5.189396725835218</v>
      </c>
      <c r="AT75" s="42" t="str">
        <f t="shared" si="62"/>
        <v/>
      </c>
      <c r="AU75" s="42" t="str">
        <f t="shared" si="63"/>
        <v/>
      </c>
      <c r="AV75" s="42" t="str">
        <f t="shared" si="74"/>
        <v/>
      </c>
      <c r="BC75" s="42">
        <f t="shared" si="34"/>
        <v>0</v>
      </c>
      <c r="BD75" s="42" t="str">
        <f t="shared" si="41"/>
        <v/>
      </c>
      <c r="BE75" s="42" t="str">
        <f t="shared" si="75"/>
        <v/>
      </c>
      <c r="BF75" s="42" t="str">
        <f t="shared" si="76"/>
        <v/>
      </c>
      <c r="BG75" s="42" t="str">
        <f t="shared" si="37"/>
        <v/>
      </c>
      <c r="BH75" s="42" t="str">
        <f t="shared" si="37"/>
        <v/>
      </c>
      <c r="BN75" s="42" t="e">
        <f>INTERCEPT($AS75:AT75,$BC75:BD75)</f>
        <v>#DIV/0!</v>
      </c>
      <c r="BO75" s="42" t="e">
        <f>INTERCEPT($AS75:AU75,$BC75:BE75)</f>
        <v>#DIV/0!</v>
      </c>
      <c r="BP75" s="42" t="e">
        <f>INTERCEPT($AS75:AV75,$BC75:BF75)</f>
        <v>#DIV/0!</v>
      </c>
      <c r="BQ75" s="42" t="e">
        <f>INTERCEPT($AS75:AW75,$BC75:BG75)</f>
        <v>#DIV/0!</v>
      </c>
      <c r="BR75" s="42" t="e">
        <f>INTERCEPT($AS75:AX75,$BC75:BH75)</f>
        <v>#DIV/0!</v>
      </c>
      <c r="BS75" s="42" t="e">
        <f>INTERCEPT($AS75:AY75,$BC75:BI75)</f>
        <v>#DIV/0!</v>
      </c>
      <c r="BT75" s="42" t="e">
        <f>INTERCEPT($AS75:AZ75,$BC75:BJ75)</f>
        <v>#DIV/0!</v>
      </c>
      <c r="BU75" s="42" t="e">
        <f>INTERCEPT($AS75:BA75,$BC75:BK75)</f>
        <v>#DIV/0!</v>
      </c>
      <c r="BX75" s="42" t="str">
        <f t="shared" ref="BX75:BX85" si="80">IF(S75&gt;1,(SLOPE(AS75:AT75, BC75:BD75)),"")</f>
        <v/>
      </c>
      <c r="BY75" s="42" t="str">
        <f t="shared" si="77"/>
        <v/>
      </c>
      <c r="BZ75" s="42" t="str">
        <f t="shared" si="78"/>
        <v/>
      </c>
      <c r="CA75" s="42" t="str">
        <f t="shared" si="69"/>
        <v/>
      </c>
      <c r="CH75" s="42" t="str">
        <f>IF(S75&gt;0,((4-BN75)/(SLOPE($AS75:AT75, $BC75:BD75))),"")</f>
        <v/>
      </c>
      <c r="CI75" s="42" t="str">
        <f>IF(T75&gt;0,((4-BO75)/(SLOPE($AS75:AU75, $BC75:BE75))),"")</f>
        <v/>
      </c>
      <c r="CJ75" s="42" t="str">
        <f>IF(S75&gt;0,((4-BP75)/(SLOPE($AS75:AV75, $BC75:BF75))),"")</f>
        <v/>
      </c>
      <c r="CK75" s="42" t="str">
        <f>IF(V75&gt;0,((4-BQ75)/(SLOPE($AS75:AW75, $BC75:BG75))),"")</f>
        <v/>
      </c>
    </row>
    <row r="76" spans="1:93">
      <c r="A76" s="42">
        <v>76</v>
      </c>
      <c r="B76" s="123" t="s">
        <v>50</v>
      </c>
      <c r="C76" s="123" t="s">
        <v>300</v>
      </c>
      <c r="D76" s="123" t="s">
        <v>534</v>
      </c>
      <c r="E76" s="45" t="s">
        <v>61</v>
      </c>
      <c r="F76" s="52" t="s">
        <v>63</v>
      </c>
      <c r="H76" s="2" t="s">
        <v>303</v>
      </c>
      <c r="I76" s="55" t="s">
        <v>463</v>
      </c>
      <c r="J76" s="62" t="s">
        <v>544</v>
      </c>
      <c r="M76" s="72" t="e" cm="1">
        <f t="array" ref="M76">LOOKUP(2,1/(ISNUMBER(BX76:CE76)),BX76:CE76)</f>
        <v>#N/A</v>
      </c>
      <c r="N76" s="72" t="e" cm="1">
        <f t="array" ref="N76">LOOKUP(2,1/(ISNUMBER(CH76:CO76)),CH76:CO76)</f>
        <v>#N/A</v>
      </c>
      <c r="O76" s="67">
        <v>4555555555.5555553</v>
      </c>
      <c r="P76" s="76">
        <v>205264057.57787535</v>
      </c>
      <c r="Q76" s="59">
        <f t="shared" si="66"/>
        <v>1.3609522992979874</v>
      </c>
      <c r="R76" s="77">
        <v>175999.99999999997</v>
      </c>
      <c r="AA76" s="43">
        <v>32000</v>
      </c>
      <c r="AJ76" s="44">
        <v>45028</v>
      </c>
      <c r="AS76" s="42">
        <f t="shared" si="61"/>
        <v>5.2455126678141495</v>
      </c>
      <c r="AT76" s="42" t="str">
        <f t="shared" si="62"/>
        <v/>
      </c>
      <c r="AU76" s="42" t="str">
        <f t="shared" si="63"/>
        <v/>
      </c>
      <c r="AV76" s="42" t="str">
        <f t="shared" si="74"/>
        <v/>
      </c>
      <c r="BC76" s="42">
        <f t="shared" si="34"/>
        <v>0</v>
      </c>
      <c r="BD76" s="42" t="str">
        <f t="shared" ref="BD76:BD91" si="81">IF(AK76&gt;1,(AK76-$AJ76),"")</f>
        <v/>
      </c>
      <c r="BE76" s="42" t="str">
        <f t="shared" si="75"/>
        <v/>
      </c>
      <c r="BF76" s="42" t="str">
        <f t="shared" si="76"/>
        <v/>
      </c>
      <c r="BG76" s="42" t="str">
        <f t="shared" si="37"/>
        <v/>
      </c>
      <c r="BH76" s="42" t="str">
        <f t="shared" si="37"/>
        <v/>
      </c>
      <c r="BN76" s="42" t="e">
        <f>INTERCEPT($AS76:AT76,$BC76:BD76)</f>
        <v>#DIV/0!</v>
      </c>
      <c r="BO76" s="42" t="e">
        <f>INTERCEPT($AS76:AU76,$BC76:BE76)</f>
        <v>#DIV/0!</v>
      </c>
      <c r="BP76" s="42" t="e">
        <f>INTERCEPT($AS76:AV76,$BC76:BF76)</f>
        <v>#DIV/0!</v>
      </c>
      <c r="BQ76" s="42" t="e">
        <f>INTERCEPT($AS76:AW76,$BC76:BG76)</f>
        <v>#DIV/0!</v>
      </c>
      <c r="BR76" s="42" t="e">
        <f>INTERCEPT($AS76:AX76,$BC76:BH76)</f>
        <v>#DIV/0!</v>
      </c>
      <c r="BS76" s="42" t="e">
        <f>INTERCEPT($AS76:AY76,$BC76:BI76)</f>
        <v>#DIV/0!</v>
      </c>
      <c r="BT76" s="42" t="e">
        <f>INTERCEPT($AS76:AZ76,$BC76:BJ76)</f>
        <v>#DIV/0!</v>
      </c>
      <c r="BU76" s="42" t="e">
        <f>INTERCEPT($AS76:BA76,$BC76:BK76)</f>
        <v>#DIV/0!</v>
      </c>
      <c r="BX76" s="42" t="str">
        <f t="shared" si="80"/>
        <v/>
      </c>
      <c r="BY76" s="42" t="str">
        <f t="shared" si="77"/>
        <v/>
      </c>
      <c r="BZ76" s="42" t="str">
        <f t="shared" si="78"/>
        <v/>
      </c>
      <c r="CA76" s="42" t="str">
        <f t="shared" si="69"/>
        <v/>
      </c>
      <c r="CH76" s="42" t="str">
        <f>IF(S76&gt;0,((4-BN76)/(SLOPE($AS76:AT76, $BC76:BD76))),"")</f>
        <v/>
      </c>
      <c r="CI76" s="42" t="str">
        <f>IF(T76&gt;0,((4-BO76)/(SLOPE($AS76:AU76, $BC76:BE76))),"")</f>
        <v/>
      </c>
      <c r="CJ76" s="42" t="str">
        <f>IF(S76&gt;0,((4-BP76)/(SLOPE($AS76:AV76, $BC76:BF76))),"")</f>
        <v/>
      </c>
      <c r="CK76" s="42" t="str">
        <f>IF(V76&gt;0,((4-BQ76)/(SLOPE($AS76:AW76, $BC76:BG76))),"")</f>
        <v/>
      </c>
    </row>
    <row r="77" spans="1:93">
      <c r="A77" s="42">
        <v>77</v>
      </c>
      <c r="B77" s="123" t="s">
        <v>50</v>
      </c>
      <c r="C77" s="123" t="s">
        <v>300</v>
      </c>
      <c r="D77" s="123" t="s">
        <v>535</v>
      </c>
      <c r="E77" s="45" t="s">
        <v>61</v>
      </c>
      <c r="F77" s="52" t="s">
        <v>63</v>
      </c>
      <c r="H77" s="2" t="s">
        <v>303</v>
      </c>
      <c r="I77" s="55" t="s">
        <v>463</v>
      </c>
      <c r="J77" s="62" t="s">
        <v>544</v>
      </c>
      <c r="M77" s="72" t="e" cm="1">
        <f t="array" ref="M77">LOOKUP(2,1/(ISNUMBER(BX77:CE77)),BX77:CE77)</f>
        <v>#N/A</v>
      </c>
      <c r="N77" s="72" t="e" cm="1">
        <f t="array" ref="N77">LOOKUP(2,1/(ISNUMBER(CH77:CO77)),CH77:CO77)</f>
        <v>#N/A</v>
      </c>
      <c r="O77" s="67">
        <v>3444444444.4444447</v>
      </c>
      <c r="P77" s="76">
        <v>266333124.73917612</v>
      </c>
      <c r="Q77" s="59">
        <f t="shared" si="66"/>
        <v>1.1811271203252049</v>
      </c>
      <c r="R77" s="77">
        <v>201333.33333333331</v>
      </c>
      <c r="AA77" s="43">
        <v>14047.538337136984</v>
      </c>
      <c r="AJ77" s="44">
        <v>45028</v>
      </c>
      <c r="AS77" s="42">
        <f t="shared" si="61"/>
        <v>5.3039156839014696</v>
      </c>
      <c r="AT77" s="42" t="str">
        <f t="shared" si="62"/>
        <v/>
      </c>
      <c r="AU77" s="42" t="str">
        <f t="shared" si="63"/>
        <v/>
      </c>
      <c r="AV77" s="42" t="str">
        <f t="shared" si="74"/>
        <v/>
      </c>
      <c r="BC77" s="42">
        <f t="shared" si="34"/>
        <v>0</v>
      </c>
      <c r="BD77" s="42" t="str">
        <f t="shared" si="81"/>
        <v/>
      </c>
      <c r="BE77" s="42" t="str">
        <f t="shared" si="75"/>
        <v/>
      </c>
      <c r="BF77" s="42" t="str">
        <f t="shared" si="76"/>
        <v/>
      </c>
      <c r="BG77" s="42" t="str">
        <f t="shared" si="37"/>
        <v/>
      </c>
      <c r="BH77" s="42" t="str">
        <f t="shared" si="37"/>
        <v/>
      </c>
      <c r="BN77" s="42" t="e">
        <f>INTERCEPT($AS77:AT77,$BC77:BD77)</f>
        <v>#DIV/0!</v>
      </c>
      <c r="BO77" s="42" t="e">
        <f>INTERCEPT($AS77:AU77,$BC77:BE77)</f>
        <v>#DIV/0!</v>
      </c>
      <c r="BP77" s="42" t="e">
        <f>INTERCEPT($AS77:AV77,$BC77:BF77)</f>
        <v>#DIV/0!</v>
      </c>
      <c r="BQ77" s="42" t="e">
        <f>INTERCEPT($AS77:AW77,$BC77:BG77)</f>
        <v>#DIV/0!</v>
      </c>
      <c r="BR77" s="42" t="e">
        <f>INTERCEPT($AS77:AX77,$BC77:BH77)</f>
        <v>#DIV/0!</v>
      </c>
      <c r="BS77" s="42" t="e">
        <f>INTERCEPT($AS77:AY77,$BC77:BI77)</f>
        <v>#DIV/0!</v>
      </c>
      <c r="BT77" s="42" t="e">
        <f>INTERCEPT($AS77:AZ77,$BC77:BJ77)</f>
        <v>#DIV/0!</v>
      </c>
      <c r="BU77" s="42" t="e">
        <f>INTERCEPT($AS77:BA77,$BC77:BK77)</f>
        <v>#DIV/0!</v>
      </c>
      <c r="BX77" s="42" t="str">
        <f t="shared" si="80"/>
        <v/>
      </c>
      <c r="BY77" s="42" t="str">
        <f t="shared" si="77"/>
        <v/>
      </c>
      <c r="BZ77" s="42" t="str">
        <f t="shared" si="78"/>
        <v/>
      </c>
      <c r="CH77" s="42" t="str">
        <f>IF(S77&gt;0,((4-BN77)/(SLOPE($AS77:AT77, $BC77:BD77))),"")</f>
        <v/>
      </c>
      <c r="CI77" s="42" t="str">
        <f>IF(T77&gt;0,((4-BO77)/(SLOPE($AS77:AU77, $BC77:BE77))),"")</f>
        <v/>
      </c>
      <c r="CJ77" s="42" t="str">
        <f>IF(S77&gt;0,((4-BP77)/(SLOPE($AS77:AV77, $BC77:BF77))),"")</f>
        <v/>
      </c>
      <c r="CK77" s="42" t="str">
        <f>IF(V77&gt;0,((4-BQ77)/(SLOPE($AS77:AW77, $BC77:BG77))),"")</f>
        <v/>
      </c>
    </row>
    <row r="78" spans="1:93">
      <c r="A78" s="42">
        <v>78</v>
      </c>
      <c r="B78" s="123" t="s">
        <v>50</v>
      </c>
      <c r="C78" s="129" t="s">
        <v>305</v>
      </c>
      <c r="D78" s="123" t="s">
        <v>331</v>
      </c>
      <c r="E78" s="45" t="s">
        <v>61</v>
      </c>
      <c r="F78" s="52" t="s">
        <v>63</v>
      </c>
      <c r="H78" s="2" t="s">
        <v>308</v>
      </c>
      <c r="I78" s="55" t="s">
        <v>457</v>
      </c>
      <c r="J78" s="62" t="s">
        <v>544</v>
      </c>
      <c r="M78" s="72" t="e" cm="1">
        <f t="array" ref="M78">LOOKUP(2,1/(ISNUMBER(BX78:CE78)),BX78:CE78)</f>
        <v>#N/A</v>
      </c>
      <c r="N78" s="72" t="e" cm="1">
        <f t="array" ref="N78">LOOKUP(2,1/(ISNUMBER(CH78:CO78)),CH78:CO78)</f>
        <v>#N/A</v>
      </c>
      <c r="O78" s="67">
        <v>5177777777.7777786</v>
      </c>
      <c r="P78" s="76">
        <v>197315314.49264985</v>
      </c>
      <c r="Q78" s="59">
        <f t="shared" si="66"/>
        <v>1.4764304501204899</v>
      </c>
      <c r="R78" s="77">
        <v>153333.33333333331</v>
      </c>
      <c r="AA78" s="43">
        <v>40066.611203511275</v>
      </c>
      <c r="AJ78" s="44">
        <v>45028</v>
      </c>
      <c r="AS78" s="42">
        <f t="shared" si="61"/>
        <v>5.1856365769619117</v>
      </c>
      <c r="AT78" s="42" t="str">
        <f t="shared" si="62"/>
        <v/>
      </c>
      <c r="AU78" s="42" t="str">
        <f t="shared" si="63"/>
        <v/>
      </c>
      <c r="AV78" s="42" t="str">
        <f t="shared" si="74"/>
        <v/>
      </c>
      <c r="BC78" s="42">
        <f t="shared" si="34"/>
        <v>0</v>
      </c>
      <c r="BD78" s="42" t="str">
        <f t="shared" si="81"/>
        <v/>
      </c>
      <c r="BE78" s="42" t="str">
        <f t="shared" si="75"/>
        <v/>
      </c>
      <c r="BF78" s="42" t="str">
        <f t="shared" si="76"/>
        <v/>
      </c>
      <c r="BG78" s="42" t="str">
        <f t="shared" ref="BG78:BG84" si="82">IF(AN78&gt;1,(AN78-$AJ78),"")</f>
        <v/>
      </c>
      <c r="BH78" s="42" t="str">
        <f t="shared" ref="BH78:BH79" si="83">IF(AO78&gt;1,(AO78-$AJ78),"")</f>
        <v/>
      </c>
      <c r="BN78" s="42" t="e">
        <f>INTERCEPT($AS78:AT78,$BC78:BD78)</f>
        <v>#DIV/0!</v>
      </c>
      <c r="BO78" s="42" t="e">
        <f>INTERCEPT($AS78:AU78,$BC78:BE78)</f>
        <v>#DIV/0!</v>
      </c>
      <c r="BP78" s="42" t="e">
        <f>INTERCEPT($AS78:AV78,$BC78:BF78)</f>
        <v>#DIV/0!</v>
      </c>
      <c r="BQ78" s="42" t="e">
        <f>INTERCEPT($AS78:AW78,$BC78:BG78)</f>
        <v>#DIV/0!</v>
      </c>
      <c r="BR78" s="42" t="e">
        <f>INTERCEPT($AS78:AX78,$BC78:BH78)</f>
        <v>#DIV/0!</v>
      </c>
      <c r="BS78" s="42" t="e">
        <f>INTERCEPT($AS78:AY78,$BC78:BI78)</f>
        <v>#DIV/0!</v>
      </c>
      <c r="BT78" s="42" t="e">
        <f>INTERCEPT($AS78:AZ78,$BC78:BJ78)</f>
        <v>#DIV/0!</v>
      </c>
      <c r="BU78" s="42" t="e">
        <f>INTERCEPT($AS78:BA78,$BC78:BK78)</f>
        <v>#DIV/0!</v>
      </c>
      <c r="BX78" s="42" t="str">
        <f t="shared" si="80"/>
        <v/>
      </c>
      <c r="BY78" s="42" t="str">
        <f t="shared" si="77"/>
        <v/>
      </c>
      <c r="BZ78" s="42" t="str">
        <f t="shared" si="78"/>
        <v/>
      </c>
      <c r="CH78" s="42" t="str">
        <f>IF(S78&gt;0,((4-BN78)/(SLOPE($AS78:AT78, $BC78:BD78))),"")</f>
        <v/>
      </c>
      <c r="CI78" s="42" t="str">
        <f>IF(T78&gt;0,((4-BO78)/(SLOPE($AS78:AU78, $BC78:BE78))),"")</f>
        <v/>
      </c>
      <c r="CJ78" s="42" t="str">
        <f>IF(S78&gt;0,((4-BP78)/(SLOPE($AS78:AV78, $BC78:BF78))),"")</f>
        <v/>
      </c>
      <c r="CK78" s="42" t="str">
        <f>IF(V78&gt;0,((4-BQ78)/(SLOPE($AS78:AW78, $BC78:BG78))),"")</f>
        <v/>
      </c>
    </row>
    <row r="79" spans="1:93">
      <c r="A79" s="42">
        <v>79</v>
      </c>
      <c r="B79" s="123" t="s">
        <v>50</v>
      </c>
      <c r="C79" s="124" t="s">
        <v>305</v>
      </c>
      <c r="D79" s="123" t="s">
        <v>536</v>
      </c>
      <c r="E79" s="45" t="s">
        <v>61</v>
      </c>
      <c r="F79" s="52" t="s">
        <v>63</v>
      </c>
      <c r="H79" s="2" t="s">
        <v>308</v>
      </c>
      <c r="I79" s="55" t="s">
        <v>457</v>
      </c>
      <c r="J79" s="62" t="s">
        <v>544</v>
      </c>
      <c r="M79" s="72" t="e" cm="1">
        <f t="array" ref="M79">LOOKUP(2,1/(ISNUMBER(BX79:CE79)),BX79:CE79)</f>
        <v>#N/A</v>
      </c>
      <c r="N79" s="72" t="e" cm="1">
        <f t="array" ref="N79">LOOKUP(2,1/(ISNUMBER(CH79:CO79)),CH79:CO79)</f>
        <v>#N/A</v>
      </c>
      <c r="O79" s="67">
        <v>7355555555.5555553</v>
      </c>
      <c r="P79" s="76">
        <v>825913635.51725638</v>
      </c>
      <c r="Q79" s="59">
        <f t="shared" si="66"/>
        <v>1.4827744871919517</v>
      </c>
      <c r="R79" s="77">
        <v>214666.66666666666</v>
      </c>
      <c r="AA79" s="43">
        <v>36073.998022583088</v>
      </c>
      <c r="AJ79" s="44">
        <v>45028</v>
      </c>
      <c r="AS79" s="42">
        <f t="shared" si="61"/>
        <v>5.3317646126401499</v>
      </c>
      <c r="AT79" s="42" t="str">
        <f t="shared" si="62"/>
        <v/>
      </c>
      <c r="AU79" s="42" t="str">
        <f t="shared" si="63"/>
        <v/>
      </c>
      <c r="AV79" s="42" t="str">
        <f t="shared" si="74"/>
        <v/>
      </c>
      <c r="BC79" s="42">
        <f t="shared" ref="BC79:BC91" si="84">AJ79-$AJ79</f>
        <v>0</v>
      </c>
      <c r="BD79" s="42" t="str">
        <f t="shared" si="81"/>
        <v/>
      </c>
      <c r="BE79" s="42" t="str">
        <f t="shared" si="75"/>
        <v/>
      </c>
      <c r="BF79" s="42" t="str">
        <f t="shared" si="76"/>
        <v/>
      </c>
      <c r="BG79" s="42" t="str">
        <f t="shared" si="82"/>
        <v/>
      </c>
      <c r="BH79" s="42" t="str">
        <f t="shared" si="83"/>
        <v/>
      </c>
      <c r="BN79" s="42" t="e">
        <f>INTERCEPT($AS79:AT79,$BC79:BD79)</f>
        <v>#DIV/0!</v>
      </c>
      <c r="BO79" s="42" t="e">
        <f>INTERCEPT($AS79:AU79,$BC79:BE79)</f>
        <v>#DIV/0!</v>
      </c>
      <c r="BP79" s="42" t="e">
        <f>INTERCEPT($AS79:AV79,$BC79:BF79)</f>
        <v>#DIV/0!</v>
      </c>
      <c r="BQ79" s="42" t="e">
        <f>INTERCEPT($AS79:AW79,$BC79:BG79)</f>
        <v>#DIV/0!</v>
      </c>
      <c r="BR79" s="42" t="e">
        <f>INTERCEPT($AS79:AX79,$BC79:BH79)</f>
        <v>#DIV/0!</v>
      </c>
      <c r="BS79" s="42" t="e">
        <f>INTERCEPT($AS79:AY79,$BC79:BI79)</f>
        <v>#DIV/0!</v>
      </c>
      <c r="BT79" s="42" t="e">
        <f>INTERCEPT($AS79:AZ79,$BC79:BJ79)</f>
        <v>#DIV/0!</v>
      </c>
      <c r="BU79" s="42" t="e">
        <f>INTERCEPT($AS79:BA79,$BC79:BK79)</f>
        <v>#DIV/0!</v>
      </c>
      <c r="BX79" s="42" t="str">
        <f t="shared" si="80"/>
        <v/>
      </c>
      <c r="BY79" s="42" t="str">
        <f t="shared" si="77"/>
        <v/>
      </c>
      <c r="BZ79" s="42" t="str">
        <f t="shared" si="78"/>
        <v/>
      </c>
      <c r="CH79" s="42" t="str">
        <f>IF(S79&gt;0,((4-BN79)/(SLOPE($AS79:AT79, $BC79:BD79))),"")</f>
        <v/>
      </c>
      <c r="CI79" s="42" t="str">
        <f>IF(T79&gt;0,((4-BO79)/(SLOPE($AS79:AU79, $BC79:BE79))),"")</f>
        <v/>
      </c>
      <c r="CJ79" s="42" t="str">
        <f>IF(S79&gt;0,((4-BP79)/(SLOPE($AS79:AV79, $BC79:BF79))),"")</f>
        <v/>
      </c>
      <c r="CK79" s="42" t="str">
        <f>IF(V79&gt;0,((4-BQ79)/(SLOPE($AS79:AW79, $BC79:BG79))),"")</f>
        <v/>
      </c>
    </row>
    <row r="80" spans="1:93">
      <c r="A80" s="42">
        <v>80</v>
      </c>
      <c r="B80" s="123" t="s">
        <v>50</v>
      </c>
      <c r="C80" s="124" t="s">
        <v>305</v>
      </c>
      <c r="D80" s="123" t="s">
        <v>537</v>
      </c>
      <c r="E80" s="45" t="s">
        <v>61</v>
      </c>
      <c r="F80" s="52" t="s">
        <v>63</v>
      </c>
      <c r="H80" s="2" t="s">
        <v>308</v>
      </c>
      <c r="I80" s="55" t="s">
        <v>457</v>
      </c>
      <c r="J80" s="62" t="s">
        <v>544</v>
      </c>
      <c r="M80" s="72" t="e" cm="1">
        <f t="array" ref="M80">LOOKUP(2,1/(ISNUMBER(BX80:CE80)),BX80:CE80)</f>
        <v>#N/A</v>
      </c>
      <c r="N80" s="72" t="e" cm="1">
        <f t="array" ref="N80">LOOKUP(2,1/(ISNUMBER(CH80:CO80)),CH80:CO80)</f>
        <v>#N/A</v>
      </c>
      <c r="O80" s="67">
        <v>3533333333.3333335</v>
      </c>
      <c r="P80" s="76">
        <v>301993377.41082996</v>
      </c>
      <c r="Q80" s="59">
        <f t="shared" si="66"/>
        <v>1.2219503811131549</v>
      </c>
      <c r="R80" s="77">
        <v>187999.99999999997</v>
      </c>
      <c r="AA80" s="43">
        <v>35552.777669262352</v>
      </c>
      <c r="AJ80" s="44">
        <v>45028</v>
      </c>
      <c r="AS80" s="42">
        <f t="shared" si="61"/>
        <v>5.2741578492636796</v>
      </c>
      <c r="AT80" s="42" t="str">
        <f t="shared" si="62"/>
        <v/>
      </c>
      <c r="AU80" s="42" t="str">
        <f t="shared" si="63"/>
        <v/>
      </c>
      <c r="AV80" s="42" t="str">
        <f t="shared" si="74"/>
        <v/>
      </c>
      <c r="BC80" s="42">
        <f t="shared" si="84"/>
        <v>0</v>
      </c>
      <c r="BD80" s="42" t="str">
        <f t="shared" si="81"/>
        <v/>
      </c>
      <c r="BE80" s="42" t="str">
        <f t="shared" si="75"/>
        <v/>
      </c>
      <c r="BF80" s="42" t="str">
        <f t="shared" si="76"/>
        <v/>
      </c>
      <c r="BG80" s="42" t="str">
        <f t="shared" si="82"/>
        <v/>
      </c>
      <c r="BN80" s="42" t="e">
        <f>INTERCEPT($AS80:AT80,$BC80:BD80)</f>
        <v>#DIV/0!</v>
      </c>
      <c r="BO80" s="42" t="e">
        <f>INTERCEPT($AS80:AU80,$BC80:BE80)</f>
        <v>#DIV/0!</v>
      </c>
      <c r="BP80" s="42" t="e">
        <f>INTERCEPT($AS80:AV80,$BC80:BF80)</f>
        <v>#DIV/0!</v>
      </c>
      <c r="BQ80" s="42" t="e">
        <f>INTERCEPT($AS80:AW80,$BC80:BG80)</f>
        <v>#DIV/0!</v>
      </c>
      <c r="BR80" s="42" t="e">
        <f>INTERCEPT($AS80:AX80,$BC80:BH80)</f>
        <v>#DIV/0!</v>
      </c>
      <c r="BS80" s="42" t="e">
        <f>INTERCEPT($AS80:AY80,$BC80:BI80)</f>
        <v>#DIV/0!</v>
      </c>
      <c r="BT80" s="42" t="e">
        <f>INTERCEPT($AS80:AZ80,$BC80:BJ80)</f>
        <v>#DIV/0!</v>
      </c>
      <c r="BU80" s="42" t="e">
        <f>INTERCEPT($AS80:BA80,$BC80:BK80)</f>
        <v>#DIV/0!</v>
      </c>
      <c r="BX80" s="42" t="str">
        <f t="shared" si="80"/>
        <v/>
      </c>
      <c r="BY80" s="42" t="str">
        <f t="shared" si="77"/>
        <v/>
      </c>
      <c r="BZ80" s="42" t="str">
        <f t="shared" si="78"/>
        <v/>
      </c>
      <c r="CH80" s="42" t="str">
        <f>IF(S80&gt;0,((4-BN80)/(SLOPE($AS80:AT80, $BC80:BD80))),"")</f>
        <v/>
      </c>
      <c r="CI80" s="42" t="str">
        <f>IF(T80&gt;0,((4-BO80)/(SLOPE($AS80:AU80, $BC80:BE80))),"")</f>
        <v/>
      </c>
      <c r="CJ80" s="42" t="str">
        <f>IF(S80&gt;0,((4-BP80)/(SLOPE($AS80:AV80, $BC80:BF80))),"")</f>
        <v/>
      </c>
      <c r="CK80" s="42" t="str">
        <f>IF(V80&gt;0,((4-BQ80)/(SLOPE($AS80:AW80, $BC80:BG80))),"")</f>
        <v/>
      </c>
    </row>
    <row r="81" spans="1:89">
      <c r="A81" s="42">
        <v>81</v>
      </c>
      <c r="B81" s="123" t="s">
        <v>622</v>
      </c>
      <c r="C81" s="130" t="s">
        <v>300</v>
      </c>
      <c r="D81" s="123" t="s">
        <v>334</v>
      </c>
      <c r="E81" s="45" t="s">
        <v>61</v>
      </c>
      <c r="F81" s="52" t="s">
        <v>63</v>
      </c>
      <c r="H81" s="2" t="s">
        <v>303</v>
      </c>
      <c r="I81" s="55" t="s">
        <v>463</v>
      </c>
      <c r="J81" s="62" t="s">
        <v>544</v>
      </c>
      <c r="M81" s="72" t="e" cm="1">
        <f t="array" ref="M81">LOOKUP(2,1/(ISNUMBER(BX81:CE81)),BX81:CE81)</f>
        <v>#N/A</v>
      </c>
      <c r="N81" s="72" t="e" cm="1">
        <f t="array" ref="N81">LOOKUP(2,1/(ISNUMBER(CH81:CO81)),CH81:CO81)</f>
        <v>#N/A</v>
      </c>
      <c r="O81" s="76">
        <v>4555555555.5555553</v>
      </c>
      <c r="P81" s="76">
        <v>266333124.73917568</v>
      </c>
      <c r="Q81" s="59">
        <f t="shared" si="66"/>
        <v>1.3142088957556606</v>
      </c>
      <c r="R81" s="77">
        <v>195999.99999999997</v>
      </c>
      <c r="AA81" s="43">
        <v>36000</v>
      </c>
      <c r="AJ81" s="44">
        <v>45035</v>
      </c>
      <c r="AS81" s="42">
        <f t="shared" si="61"/>
        <v>5.2922560713564764</v>
      </c>
      <c r="AT81" s="42" t="str">
        <f t="shared" si="62"/>
        <v/>
      </c>
      <c r="AU81" s="42" t="str">
        <f t="shared" si="63"/>
        <v/>
      </c>
      <c r="AV81" s="42" t="str">
        <f t="shared" si="74"/>
        <v/>
      </c>
      <c r="BC81" s="42">
        <f t="shared" si="84"/>
        <v>0</v>
      </c>
      <c r="BD81" s="42" t="str">
        <f t="shared" si="81"/>
        <v/>
      </c>
      <c r="BE81" s="42" t="str">
        <f t="shared" si="75"/>
        <v/>
      </c>
      <c r="BF81" s="42" t="str">
        <f t="shared" si="76"/>
        <v/>
      </c>
      <c r="BG81" s="42" t="str">
        <f t="shared" si="82"/>
        <v/>
      </c>
      <c r="BN81" s="42" t="e">
        <f>INTERCEPT($AS81:AT81,$BC81:BD81)</f>
        <v>#DIV/0!</v>
      </c>
      <c r="BO81" s="42" t="e">
        <f>INTERCEPT($AS81:AU81,$BC81:BE81)</f>
        <v>#DIV/0!</v>
      </c>
      <c r="BP81" s="42" t="e">
        <f>INTERCEPT($AS81:AV81,$BC81:BF81)</f>
        <v>#DIV/0!</v>
      </c>
      <c r="BQ81" s="42" t="e">
        <f>INTERCEPT($AS81:AW81,$BC81:BG81)</f>
        <v>#DIV/0!</v>
      </c>
      <c r="BR81" s="42" t="e">
        <f>INTERCEPT($AS81:AX81,$BC81:BH81)</f>
        <v>#DIV/0!</v>
      </c>
      <c r="BS81" s="42" t="e">
        <f>INTERCEPT($AS81:AY81,$BC81:BI81)</f>
        <v>#DIV/0!</v>
      </c>
      <c r="BT81" s="42" t="e">
        <f>INTERCEPT($AS81:AZ81,$BC81:BJ81)</f>
        <v>#DIV/0!</v>
      </c>
      <c r="BU81" s="42" t="e">
        <f>INTERCEPT($AS81:BA81,$BC81:BK81)</f>
        <v>#DIV/0!</v>
      </c>
      <c r="BX81" s="42" t="str">
        <f t="shared" si="80"/>
        <v/>
      </c>
      <c r="BY81" s="42" t="str">
        <f t="shared" si="77"/>
        <v/>
      </c>
      <c r="BZ81" s="42" t="str">
        <f t="shared" si="78"/>
        <v/>
      </c>
      <c r="CH81" s="42" t="str">
        <f>IF(S81&gt;0,((4-BN81)/(SLOPE($AS81:AT81, $BC81:BD81))),"")</f>
        <v/>
      </c>
      <c r="CI81" s="42" t="str">
        <f>IF(T81&gt;0,((4-BO81)/(SLOPE($AS81:AU81, $BC81:BE81))),"")</f>
        <v/>
      </c>
      <c r="CJ81" s="42" t="str">
        <f>IF(S81&gt;0,((4-BP81)/(SLOPE($AS81:AV81, $BC81:BF81))),"")</f>
        <v/>
      </c>
      <c r="CK81" s="42" t="str">
        <f>IF(V81&gt;0,((4-BQ81)/(SLOPE($AS81:AW81, $BC81:BG81))),"")</f>
        <v/>
      </c>
    </row>
    <row r="82" spans="1:89">
      <c r="A82" s="42">
        <v>82</v>
      </c>
      <c r="B82" s="123" t="s">
        <v>622</v>
      </c>
      <c r="C82" s="123" t="s">
        <v>300</v>
      </c>
      <c r="D82" s="123" t="s">
        <v>510</v>
      </c>
      <c r="E82" s="45" t="s">
        <v>61</v>
      </c>
      <c r="F82" s="52" t="s">
        <v>63</v>
      </c>
      <c r="H82" s="2" t="s">
        <v>303</v>
      </c>
      <c r="I82" s="55" t="s">
        <v>463</v>
      </c>
      <c r="J82" s="62" t="s">
        <v>544</v>
      </c>
      <c r="M82" s="72" t="e" cm="1">
        <f t="array" ref="M82">LOOKUP(2,1/(ISNUMBER(BX82:CE82)),BX82:CE82)</f>
        <v>#N/A</v>
      </c>
      <c r="N82" s="72" t="e" cm="1">
        <f t="array" ref="N82">LOOKUP(2,1/(ISNUMBER(CH82:CO82)),CH82:CO82)</f>
        <v>#N/A</v>
      </c>
      <c r="O82" s="76">
        <v>8088888888.8888893</v>
      </c>
      <c r="P82" s="76">
        <v>1165732959.7010334</v>
      </c>
      <c r="Q82" s="59">
        <f t="shared" si="66"/>
        <v>1.5878589528430442</v>
      </c>
      <c r="R82" s="77">
        <v>185333.33333333331</v>
      </c>
      <c r="AA82" s="43">
        <v>46360.903068569918</v>
      </c>
      <c r="AJ82" s="44">
        <v>45035</v>
      </c>
      <c r="AS82" s="42">
        <f t="shared" si="61"/>
        <v>5.2679535368623949</v>
      </c>
      <c r="AT82" s="42" t="str">
        <f t="shared" si="62"/>
        <v/>
      </c>
      <c r="AU82" s="42" t="str">
        <f t="shared" si="63"/>
        <v/>
      </c>
      <c r="AV82" s="42" t="str">
        <f t="shared" si="74"/>
        <v/>
      </c>
      <c r="BC82" s="42">
        <f t="shared" si="84"/>
        <v>0</v>
      </c>
      <c r="BD82" s="42" t="str">
        <f t="shared" si="81"/>
        <v/>
      </c>
      <c r="BE82" s="42" t="str">
        <f t="shared" si="75"/>
        <v/>
      </c>
      <c r="BF82" s="42" t="str">
        <f t="shared" si="76"/>
        <v/>
      </c>
      <c r="BG82" s="42" t="str">
        <f t="shared" si="82"/>
        <v/>
      </c>
      <c r="BN82" s="42" t="e">
        <f>INTERCEPT($AS82:AT82,$BC82:BD82)</f>
        <v>#DIV/0!</v>
      </c>
      <c r="BO82" s="42" t="e">
        <f>INTERCEPT($AS82:AU82,$BC82:BE82)</f>
        <v>#DIV/0!</v>
      </c>
      <c r="BP82" s="42" t="e">
        <f>INTERCEPT($AS82:AV82,$BC82:BF82)</f>
        <v>#DIV/0!</v>
      </c>
      <c r="BQ82" s="42" t="e">
        <f>INTERCEPT($AS82:AW82,$BC82:BG82)</f>
        <v>#DIV/0!</v>
      </c>
      <c r="BR82" s="42" t="e">
        <f>INTERCEPT($AS82:AX82,$BC82:BH82)</f>
        <v>#DIV/0!</v>
      </c>
      <c r="BS82" s="42" t="e">
        <f>INTERCEPT($AS82:AY82,$BC82:BI82)</f>
        <v>#DIV/0!</v>
      </c>
      <c r="BT82" s="42" t="e">
        <f>INTERCEPT($AS82:AZ82,$BC82:BJ82)</f>
        <v>#DIV/0!</v>
      </c>
      <c r="BU82" s="42" t="e">
        <f>INTERCEPT($AS82:BA82,$BC82:BK82)</f>
        <v>#DIV/0!</v>
      </c>
      <c r="BX82" s="42" t="str">
        <f t="shared" si="80"/>
        <v/>
      </c>
      <c r="BY82" s="42" t="str">
        <f t="shared" si="77"/>
        <v/>
      </c>
      <c r="BZ82" s="42" t="str">
        <f t="shared" si="78"/>
        <v/>
      </c>
      <c r="CH82" s="42" t="str">
        <f>IF(S82&gt;0,((4-BN82)/(SLOPE($AS82:AT82, $BC82:BD82))),"")</f>
        <v/>
      </c>
      <c r="CI82" s="42" t="str">
        <f>IF(T82&gt;0,((4-BO82)/(SLOPE($AS82:AU82, $BC82:BE82))),"")</f>
        <v/>
      </c>
      <c r="CJ82" s="42" t="str">
        <f>IF(S82&gt;0,((4-BP82)/(SLOPE($AS82:AV82, $BC82:BF82))),"")</f>
        <v/>
      </c>
      <c r="CK82" s="42" t="str">
        <f>IF(V82&gt;0,((4-BQ82)/(SLOPE($AS82:AW82, $BC82:BG82))),"")</f>
        <v/>
      </c>
    </row>
    <row r="83" spans="1:89">
      <c r="A83" s="42">
        <v>83</v>
      </c>
      <c r="B83" s="123" t="s">
        <v>622</v>
      </c>
      <c r="C83" s="123" t="s">
        <v>300</v>
      </c>
      <c r="D83" s="123" t="s">
        <v>512</v>
      </c>
      <c r="E83" s="45" t="s">
        <v>61</v>
      </c>
      <c r="F83" s="52" t="s">
        <v>63</v>
      </c>
      <c r="H83" s="2" t="s">
        <v>303</v>
      </c>
      <c r="I83" s="55" t="s">
        <v>463</v>
      </c>
      <c r="J83" s="62" t="s">
        <v>544</v>
      </c>
      <c r="M83" s="72" t="e" cm="1">
        <f t="array" ref="M83">LOOKUP(2,1/(ISNUMBER(BX83:CE83)),BX83:CE83)</f>
        <v>#N/A</v>
      </c>
      <c r="N83" s="72" t="e" cm="1">
        <f t="array" ref="N83">LOOKUP(2,1/(ISNUMBER(CH83:CO83)),CH83:CO83)</f>
        <v>#N/A</v>
      </c>
      <c r="O83" s="76">
        <v>3800000000</v>
      </c>
      <c r="P83" s="76">
        <v>288444102.03711915</v>
      </c>
      <c r="Q83" s="59">
        <f t="shared" si="66"/>
        <v>1.2921787695409881</v>
      </c>
      <c r="R83" s="77">
        <v>171999.99999999997</v>
      </c>
      <c r="AA83" s="43">
        <v>17435.595774162695</v>
      </c>
      <c r="AJ83" s="44">
        <v>45035</v>
      </c>
      <c r="AS83" s="42">
        <f t="shared" si="61"/>
        <v>5.2355284469075487</v>
      </c>
      <c r="AT83" s="42" t="str">
        <f t="shared" si="62"/>
        <v/>
      </c>
      <c r="AU83" s="42" t="str">
        <f t="shared" si="63"/>
        <v/>
      </c>
      <c r="AV83" s="42" t="str">
        <f t="shared" si="74"/>
        <v/>
      </c>
      <c r="BC83" s="42">
        <f t="shared" si="84"/>
        <v>0</v>
      </c>
      <c r="BD83" s="42" t="str">
        <f t="shared" si="81"/>
        <v/>
      </c>
      <c r="BE83" s="42" t="str">
        <f t="shared" si="75"/>
        <v/>
      </c>
      <c r="BF83" s="42" t="str">
        <f t="shared" si="76"/>
        <v/>
      </c>
      <c r="BG83" s="42" t="str">
        <f t="shared" si="82"/>
        <v/>
      </c>
      <c r="BN83" s="42" t="e">
        <f>INTERCEPT($AS83:AT83,$BC83:BD83)</f>
        <v>#DIV/0!</v>
      </c>
      <c r="BO83" s="42" t="e">
        <f>INTERCEPT($AS83:AU83,$BC83:BE83)</f>
        <v>#DIV/0!</v>
      </c>
      <c r="BP83" s="42" t="e">
        <f>INTERCEPT($AS83:AV83,$BC83:BF83)</f>
        <v>#DIV/0!</v>
      </c>
      <c r="BQ83" s="42" t="e">
        <f>INTERCEPT($AS83:AW83,$BC83:BG83)</f>
        <v>#DIV/0!</v>
      </c>
      <c r="BR83" s="42" t="e">
        <f>INTERCEPT($AS83:AX83,$BC83:BH83)</f>
        <v>#DIV/0!</v>
      </c>
      <c r="BS83" s="42" t="e">
        <f>INTERCEPT($AS83:AY83,$BC83:BI83)</f>
        <v>#DIV/0!</v>
      </c>
      <c r="BT83" s="42" t="e">
        <f>INTERCEPT($AS83:AZ83,$BC83:BJ83)</f>
        <v>#DIV/0!</v>
      </c>
      <c r="BU83" s="42" t="e">
        <f>INTERCEPT($AS83:BA83,$BC83:BK83)</f>
        <v>#DIV/0!</v>
      </c>
      <c r="BX83" s="42" t="str">
        <f t="shared" si="80"/>
        <v/>
      </c>
      <c r="BY83" s="42" t="str">
        <f t="shared" si="77"/>
        <v/>
      </c>
      <c r="BZ83" s="42" t="str">
        <f t="shared" si="78"/>
        <v/>
      </c>
      <c r="CH83" s="42" t="str">
        <f>IF(S83&gt;0,((4-BN83)/(SLOPE($AS83:AT83, $BC83:BD83))),"")</f>
        <v/>
      </c>
      <c r="CI83" s="42" t="str">
        <f>IF(T83&gt;0,((4-BO83)/(SLOPE($AS83:AU83, $BC83:BE83))),"")</f>
        <v/>
      </c>
      <c r="CJ83" s="42" t="str">
        <f>IF(S83&gt;0,((4-BP83)/(SLOPE($AS83:AV83, $BC83:BF83))),"")</f>
        <v/>
      </c>
      <c r="CK83" s="42" t="str">
        <f>IF(V83&gt;0,((4-BQ83)/(SLOPE($AS83:AW83, $BC83:BG83))),"")</f>
        <v/>
      </c>
    </row>
    <row r="84" spans="1:89">
      <c r="A84" s="42">
        <v>84</v>
      </c>
      <c r="B84" s="123" t="s">
        <v>622</v>
      </c>
      <c r="C84" s="129" t="s">
        <v>305</v>
      </c>
      <c r="D84" s="123" t="s">
        <v>337</v>
      </c>
      <c r="E84" s="45" t="s">
        <v>61</v>
      </c>
      <c r="F84" s="52" t="s">
        <v>63</v>
      </c>
      <c r="H84" s="2" t="s">
        <v>308</v>
      </c>
      <c r="I84" s="55" t="s">
        <v>457</v>
      </c>
      <c r="J84" s="62" t="s">
        <v>544</v>
      </c>
      <c r="M84" s="72" t="e" cm="1">
        <f t="array" ref="M84">LOOKUP(2,1/(ISNUMBER(BX84:CE84)),BX84:CE84)</f>
        <v>#N/A</v>
      </c>
      <c r="N84" s="72" t="e" cm="1">
        <f t="array" ref="N84">LOOKUP(2,1/(ISNUMBER(CH84:CO84)),CH84:CO84)</f>
        <v>#N/A</v>
      </c>
      <c r="O84" s="76">
        <v>6222222222.2222223</v>
      </c>
      <c r="P84" s="76">
        <v>388501394.24889237</v>
      </c>
      <c r="Q84" s="59">
        <f t="shared" si="66"/>
        <v>1.3291286708600767</v>
      </c>
      <c r="R84" s="77">
        <v>258666.6666666666</v>
      </c>
      <c r="AA84" s="43">
        <v>33306.655991458043</v>
      </c>
      <c r="AJ84" s="44">
        <v>45035</v>
      </c>
      <c r="AS84" s="42">
        <f t="shared" si="61"/>
        <v>5.4127404665385255</v>
      </c>
      <c r="AT84" s="42" t="str">
        <f t="shared" si="62"/>
        <v/>
      </c>
      <c r="AU84" s="42" t="str">
        <f t="shared" si="63"/>
        <v/>
      </c>
      <c r="AV84" s="42" t="str">
        <f t="shared" si="74"/>
        <v/>
      </c>
      <c r="BC84" s="42">
        <f t="shared" si="84"/>
        <v>0</v>
      </c>
      <c r="BD84" s="42" t="str">
        <f t="shared" si="81"/>
        <v/>
      </c>
      <c r="BE84" s="42" t="str">
        <f t="shared" si="75"/>
        <v/>
      </c>
      <c r="BF84" s="42" t="str">
        <f t="shared" si="76"/>
        <v/>
      </c>
      <c r="BG84" s="42" t="str">
        <f t="shared" si="82"/>
        <v/>
      </c>
      <c r="BN84" s="42" t="e">
        <f>INTERCEPT($AS84:AT84,$BC84:BD84)</f>
        <v>#DIV/0!</v>
      </c>
      <c r="BO84" s="42" t="e">
        <f>INTERCEPT($AS84:AU84,$BC84:BE84)</f>
        <v>#DIV/0!</v>
      </c>
      <c r="BP84" s="42" t="e">
        <f>INTERCEPT($AS84:AV84,$BC84:BF84)</f>
        <v>#DIV/0!</v>
      </c>
      <c r="BQ84" s="42" t="e">
        <f>INTERCEPT($AS84:AW84,$BC84:BG84)</f>
        <v>#DIV/0!</v>
      </c>
      <c r="BR84" s="42" t="e">
        <f>INTERCEPT($AS84:AX84,$BC84:BH84)</f>
        <v>#DIV/0!</v>
      </c>
      <c r="BS84" s="42" t="e">
        <f>INTERCEPT($AS84:AY84,$BC84:BI84)</f>
        <v>#DIV/0!</v>
      </c>
      <c r="BT84" s="42" t="e">
        <f>INTERCEPT($AS84:AZ84,$BC84:BJ84)</f>
        <v>#DIV/0!</v>
      </c>
      <c r="BU84" s="42" t="e">
        <f>INTERCEPT($AS84:BA84,$BC84:BK84)</f>
        <v>#DIV/0!</v>
      </c>
      <c r="BX84" s="42" t="str">
        <f t="shared" si="80"/>
        <v/>
      </c>
      <c r="BY84" s="42" t="str">
        <f t="shared" si="77"/>
        <v/>
      </c>
      <c r="BZ84" s="42" t="str">
        <f t="shared" si="78"/>
        <v/>
      </c>
      <c r="CH84" s="42" t="str">
        <f>IF(S84&gt;0,((4-BN84)/(SLOPE($AS84:AT84, $BC84:BD84))),"")</f>
        <v/>
      </c>
      <c r="CI84" s="42" t="str">
        <f>IF(T84&gt;0,((4-BO84)/(SLOPE($AS84:AU84, $BC84:BE84))),"")</f>
        <v/>
      </c>
      <c r="CJ84" s="42" t="str">
        <f>IF(S84&gt;0,((4-BP84)/(SLOPE($AS84:AV84, $BC84:BF84))),"")</f>
        <v/>
      </c>
      <c r="CK84" s="42" t="str">
        <f>IF(V84&gt;0,((4-BQ84)/(SLOPE($AS84:AW84, $BC84:BG84))),"")</f>
        <v/>
      </c>
    </row>
    <row r="85" spans="1:89">
      <c r="A85" s="42">
        <v>85</v>
      </c>
      <c r="B85" s="123" t="s">
        <v>622</v>
      </c>
      <c r="C85" s="124" t="s">
        <v>305</v>
      </c>
      <c r="D85" s="123" t="s">
        <v>513</v>
      </c>
      <c r="E85" s="45" t="s">
        <v>61</v>
      </c>
      <c r="F85" s="52" t="s">
        <v>63</v>
      </c>
      <c r="H85" s="2" t="s">
        <v>308</v>
      </c>
      <c r="I85" s="55" t="s">
        <v>457</v>
      </c>
      <c r="J85" s="62" t="s">
        <v>544</v>
      </c>
      <c r="M85" s="72" t="e" cm="1">
        <f t="array" ref="M85">LOOKUP(2,1/(ISNUMBER(BX85:CE85)),BX85:CE85)</f>
        <v>#N/A</v>
      </c>
      <c r="N85" s="72" t="e" cm="1">
        <f t="array" ref="N85">LOOKUP(2,1/(ISNUMBER(CH85:CO85)),CH85:CO85)</f>
        <v>#N/A</v>
      </c>
      <c r="O85" s="76">
        <v>8422222222.2222223</v>
      </c>
      <c r="P85" s="76">
        <v>408574758.56118828</v>
      </c>
      <c r="Q85" s="59">
        <f t="shared" si="66"/>
        <v>1.3736632334060515</v>
      </c>
      <c r="R85" s="77">
        <v>315999.99999999994</v>
      </c>
      <c r="AA85" s="43">
        <v>50119.856344566673</v>
      </c>
      <c r="AJ85" s="44">
        <v>45035</v>
      </c>
      <c r="AS85" s="42">
        <f t="shared" si="61"/>
        <v>5.4996870826184034</v>
      </c>
      <c r="AT85" s="42" t="str">
        <f t="shared" si="62"/>
        <v/>
      </c>
      <c r="AU85" s="42" t="str">
        <f t="shared" si="63"/>
        <v/>
      </c>
      <c r="AV85" s="42" t="str">
        <f t="shared" si="74"/>
        <v/>
      </c>
      <c r="BC85" s="42">
        <f t="shared" si="84"/>
        <v>0</v>
      </c>
      <c r="BD85" s="42" t="str">
        <f t="shared" si="81"/>
        <v/>
      </c>
      <c r="BE85" s="42" t="str">
        <f t="shared" ref="BE85:BF89" si="85">IF(AL85&gt;1,(AL85-$AJ85),"")</f>
        <v/>
      </c>
      <c r="BF85" s="42" t="str">
        <f t="shared" si="85"/>
        <v/>
      </c>
      <c r="BN85" s="42" t="e">
        <f>INTERCEPT($AS85:AT85,$BC85:BD85)</f>
        <v>#DIV/0!</v>
      </c>
      <c r="BO85" s="42" t="e">
        <f>INTERCEPT($AS85:AU85,$BC85:BE85)</f>
        <v>#DIV/0!</v>
      </c>
      <c r="BP85" s="42" t="e">
        <f>INTERCEPT($AS85:AV85,$BC85:BF85)</f>
        <v>#DIV/0!</v>
      </c>
      <c r="BQ85" s="42" t="e">
        <f>INTERCEPT($AS85:AW85,$BC85:BG85)</f>
        <v>#DIV/0!</v>
      </c>
      <c r="BR85" s="42" t="e">
        <f>INTERCEPT($AS85:AX85,$BC85:BH85)</f>
        <v>#DIV/0!</v>
      </c>
      <c r="BS85" s="42" t="e">
        <f>INTERCEPT($AS85:AY85,$BC85:BI85)</f>
        <v>#DIV/0!</v>
      </c>
      <c r="BT85" s="42" t="e">
        <f>INTERCEPT($AS85:AZ85,$BC85:BJ85)</f>
        <v>#DIV/0!</v>
      </c>
      <c r="BU85" s="42" t="e">
        <f>INTERCEPT($AS85:BA85,$BC85:BK85)</f>
        <v>#DIV/0!</v>
      </c>
      <c r="BX85" s="42" t="str">
        <f t="shared" si="80"/>
        <v/>
      </c>
      <c r="BY85" s="42" t="str">
        <f t="shared" si="77"/>
        <v/>
      </c>
      <c r="BZ85" s="42" t="str">
        <f t="shared" si="78"/>
        <v/>
      </c>
      <c r="CH85" s="42" t="str">
        <f>IF(S85&gt;0,((4-BN85)/(SLOPE($AS85:AT85, $BC85:BD85))),"")</f>
        <v/>
      </c>
      <c r="CI85" s="42" t="str">
        <f>IF(T85&gt;0,((4-BO85)/(SLOPE($AS85:AU85, $BC85:BE85))),"")</f>
        <v/>
      </c>
      <c r="CK85" s="42" t="str">
        <f>IF(V85&gt;0,((4-BQ85)/(SLOPE($AS85:AW85, $BC85:BG85))),"")</f>
        <v/>
      </c>
    </row>
    <row r="86" spans="1:89">
      <c r="A86" s="42">
        <v>86</v>
      </c>
      <c r="B86" s="123" t="s">
        <v>622</v>
      </c>
      <c r="C86" s="124" t="s">
        <v>305</v>
      </c>
      <c r="D86" s="123" t="s">
        <v>514</v>
      </c>
      <c r="E86" s="45" t="s">
        <v>61</v>
      </c>
      <c r="F86" s="52" t="s">
        <v>63</v>
      </c>
      <c r="H86" s="2" t="s">
        <v>308</v>
      </c>
      <c r="I86" s="55" t="s">
        <v>457</v>
      </c>
      <c r="J86" s="62" t="s">
        <v>544</v>
      </c>
      <c r="M86" s="72" t="e" cm="1">
        <f t="array" ref="M86">LOOKUP(2,1/(ISNUMBER(BX86:CE86)),BX86:CE86)</f>
        <v>#N/A</v>
      </c>
      <c r="N86" s="72" t="e" cm="1">
        <f t="array" ref="N86">LOOKUP(2,1/(ISNUMBER(CH86:CO86)),CH86:CO86)</f>
        <v>#N/A</v>
      </c>
      <c r="O86" s="76">
        <v>4644444444.4444447</v>
      </c>
      <c r="P86" s="76">
        <v>128582010.14657271</v>
      </c>
      <c r="Q86" s="59">
        <f t="shared" si="66"/>
        <v>1.3861149346031798</v>
      </c>
      <c r="R86" s="77">
        <v>169333.33333333331</v>
      </c>
      <c r="AA86" s="43">
        <v>16165.807537309522</v>
      </c>
      <c r="AJ86" s="44">
        <v>45035</v>
      </c>
      <c r="AS86" s="42">
        <f t="shared" si="61"/>
        <v>5.2287424575642572</v>
      </c>
      <c r="AT86" s="42" t="str">
        <f t="shared" si="62"/>
        <v/>
      </c>
      <c r="AU86" s="42" t="str">
        <f t="shared" si="63"/>
        <v/>
      </c>
      <c r="AV86" s="42" t="str">
        <f t="shared" si="74"/>
        <v/>
      </c>
      <c r="BC86" s="42">
        <f t="shared" si="84"/>
        <v>0</v>
      </c>
      <c r="BD86" s="42" t="str">
        <f t="shared" si="81"/>
        <v/>
      </c>
      <c r="BE86" s="42" t="str">
        <f t="shared" si="85"/>
        <v/>
      </c>
      <c r="BF86" s="42" t="str">
        <f t="shared" si="85"/>
        <v/>
      </c>
      <c r="BZ86" s="42" t="str">
        <f t="shared" si="78"/>
        <v/>
      </c>
      <c r="CH86" s="42" t="str">
        <f>IF(S86&gt;0,((4-BN86)/(SLOPE($AS86:AT86, $BC86:BD86))),"")</f>
        <v/>
      </c>
      <c r="CI86" s="42" t="str">
        <f>IF(T86&gt;0,((4-BO86)/(SLOPE($AS86:AU86, $BC86:BE86))),"")</f>
        <v/>
      </c>
      <c r="CK86" s="42" t="str">
        <f>IF(V86&gt;0,((4-BQ86)/(SLOPE($AS86:AW86, $BC86:BG86))),"")</f>
        <v/>
      </c>
    </row>
    <row r="87" spans="1:89">
      <c r="A87" s="39" t="s">
        <v>623</v>
      </c>
      <c r="B87" s="38" t="s">
        <v>395</v>
      </c>
      <c r="C87" s="131" t="s">
        <v>1</v>
      </c>
      <c r="D87" s="38" t="s">
        <v>2</v>
      </c>
      <c r="E87" s="38" t="s">
        <v>3</v>
      </c>
      <c r="F87" s="53" t="s">
        <v>396</v>
      </c>
      <c r="G87" s="53" t="s">
        <v>624</v>
      </c>
      <c r="H87" s="134" t="s">
        <v>398</v>
      </c>
      <c r="I87" s="53" t="s">
        <v>625</v>
      </c>
      <c r="J87" s="38" t="s">
        <v>626</v>
      </c>
      <c r="K87" s="38" t="s">
        <v>627</v>
      </c>
      <c r="L87" s="38" t="s">
        <v>628</v>
      </c>
      <c r="M87" s="71" t="s">
        <v>629</v>
      </c>
      <c r="N87" s="71" t="s">
        <v>630</v>
      </c>
      <c r="O87" s="56" t="s">
        <v>631</v>
      </c>
      <c r="P87" s="56" t="s">
        <v>632</v>
      </c>
      <c r="Q87" s="57" t="s">
        <v>633</v>
      </c>
      <c r="R87" s="40" t="s">
        <v>634</v>
      </c>
      <c r="S87" s="40" t="s">
        <v>635</v>
      </c>
      <c r="T87" s="40" t="s">
        <v>636</v>
      </c>
      <c r="U87" s="40" t="s">
        <v>637</v>
      </c>
      <c r="V87" s="40" t="s">
        <v>638</v>
      </c>
      <c r="W87" s="40" t="s">
        <v>639</v>
      </c>
      <c r="X87" s="40" t="s">
        <v>640</v>
      </c>
      <c r="Y87" s="40" t="s">
        <v>641</v>
      </c>
      <c r="Z87" s="40" t="s">
        <v>642</v>
      </c>
      <c r="AA87" s="40" t="s">
        <v>643</v>
      </c>
      <c r="AB87" s="40" t="s">
        <v>644</v>
      </c>
      <c r="AC87" s="40" t="s">
        <v>645</v>
      </c>
      <c r="AD87" s="40" t="s">
        <v>646</v>
      </c>
      <c r="AE87" s="40" t="s">
        <v>647</v>
      </c>
      <c r="AF87" s="40" t="s">
        <v>648</v>
      </c>
      <c r="AG87" s="40" t="s">
        <v>649</v>
      </c>
      <c r="AH87" s="40" t="s">
        <v>650</v>
      </c>
      <c r="AI87" s="40" t="s">
        <v>651</v>
      </c>
      <c r="AJ87" s="41" t="s">
        <v>652</v>
      </c>
      <c r="AK87" s="41" t="s">
        <v>653</v>
      </c>
      <c r="AL87" s="41" t="s">
        <v>654</v>
      </c>
      <c r="AM87" s="41" t="s">
        <v>655</v>
      </c>
      <c r="AN87" s="41" t="s">
        <v>656</v>
      </c>
      <c r="AO87" s="41" t="s">
        <v>657</v>
      </c>
      <c r="AP87" s="41" t="s">
        <v>658</v>
      </c>
      <c r="AQ87" s="41" t="s">
        <v>659</v>
      </c>
      <c r="AR87" s="41" t="s">
        <v>660</v>
      </c>
      <c r="AS87" s="39" t="s">
        <v>661</v>
      </c>
      <c r="AT87" s="39" t="s">
        <v>662</v>
      </c>
      <c r="AU87" s="39" t="s">
        <v>663</v>
      </c>
      <c r="AV87" s="39" t="s">
        <v>664</v>
      </c>
      <c r="AW87" s="39" t="s">
        <v>665</v>
      </c>
      <c r="AX87" s="39" t="s">
        <v>666</v>
      </c>
      <c r="AY87" s="39" t="s">
        <v>667</v>
      </c>
      <c r="AZ87" s="39" t="s">
        <v>668</v>
      </c>
      <c r="BA87" s="39" t="s">
        <v>669</v>
      </c>
      <c r="BC87" s="42" t="e">
        <f t="shared" si="84"/>
        <v>#VALUE!</v>
      </c>
      <c r="BD87" s="42" t="e">
        <f t="shared" si="81"/>
        <v>#VALUE!</v>
      </c>
      <c r="BE87" s="42" t="e">
        <f t="shared" si="85"/>
        <v>#VALUE!</v>
      </c>
      <c r="BF87" s="42" t="e">
        <f t="shared" si="85"/>
        <v>#VALUE!</v>
      </c>
      <c r="BZ87" s="42" t="e">
        <f t="shared" si="78"/>
        <v>#VALUE!</v>
      </c>
      <c r="CH87" s="42" t="e">
        <f>IF(S87&gt;0,((4-BN87)/(SLOPE($AS87:AT87, $BC87:BD87))),"")</f>
        <v>#VALUE!</v>
      </c>
      <c r="CI87" s="42" t="e">
        <f>IF(T87&gt;0,((4-BO87)/(SLOPE($AS87:AU87, $BC87:BE87))),"")</f>
        <v>#VALUE!</v>
      </c>
    </row>
    <row r="88" spans="1:89">
      <c r="D88" s="123"/>
      <c r="E88" s="45"/>
      <c r="AS88" s="42" t="str">
        <f>IF(R88&gt;0,(LOG(R88)),"")</f>
        <v/>
      </c>
      <c r="AT88" s="42" t="str">
        <f>IF(S88&gt;0,(LOG(S88)),"")</f>
        <v/>
      </c>
      <c r="AU88" s="42" t="str">
        <f>IF(T88&gt;0,(LOG(T88)),"")</f>
        <v/>
      </c>
      <c r="AV88" s="42" t="str">
        <f t="shared" ref="AV88:AV97" si="86">IF(S88&gt;0,(LOG(S88)),"")</f>
        <v/>
      </c>
      <c r="BC88" s="42">
        <f t="shared" si="84"/>
        <v>0</v>
      </c>
      <c r="BD88" s="42" t="str">
        <f t="shared" si="81"/>
        <v/>
      </c>
      <c r="BE88" s="42" t="str">
        <f t="shared" si="85"/>
        <v/>
      </c>
      <c r="BF88" s="42" t="str">
        <f t="shared" si="85"/>
        <v/>
      </c>
    </row>
    <row r="89" spans="1:89">
      <c r="D89" s="123"/>
      <c r="AT89" s="42" t="str">
        <f>IF(S89&gt;0,(LOG(S89)),"")</f>
        <v/>
      </c>
      <c r="AU89" s="42" t="str">
        <f>IF(T89&gt;0,(LOG(T89)),"")</f>
        <v/>
      </c>
      <c r="AV89" s="42" t="str">
        <f t="shared" si="86"/>
        <v/>
      </c>
      <c r="BC89" s="42">
        <f t="shared" si="84"/>
        <v>0</v>
      </c>
      <c r="BD89" s="42" t="str">
        <f t="shared" si="81"/>
        <v/>
      </c>
      <c r="BE89" s="42" t="str">
        <f t="shared" si="85"/>
        <v/>
      </c>
      <c r="BF89" s="42" t="str">
        <f t="shared" si="85"/>
        <v/>
      </c>
    </row>
    <row r="90" spans="1:89">
      <c r="AT90" s="42" t="str">
        <f>IF(S90&gt;0,(LOG(S90)),"")</f>
        <v/>
      </c>
      <c r="AU90" s="42" t="str">
        <f>IF(T90&gt;0,(LOG(T90)),"")</f>
        <v/>
      </c>
      <c r="AV90" s="42" t="str">
        <f t="shared" si="86"/>
        <v/>
      </c>
      <c r="BC90" s="42">
        <f t="shared" si="84"/>
        <v>0</v>
      </c>
      <c r="BD90" s="42" t="str">
        <f t="shared" si="81"/>
        <v/>
      </c>
    </row>
    <row r="91" spans="1:89">
      <c r="AT91" s="42" t="str">
        <f>IF(S91&gt;0,(LOG(S91)),"")</f>
        <v/>
      </c>
      <c r="AV91" s="42" t="str">
        <f t="shared" si="86"/>
        <v/>
      </c>
      <c r="BC91" s="42">
        <f t="shared" si="84"/>
        <v>0</v>
      </c>
      <c r="BD91" s="42" t="str">
        <f t="shared" si="81"/>
        <v/>
      </c>
    </row>
    <row r="92" spans="1:89">
      <c r="AV92" s="42" t="str">
        <f t="shared" si="86"/>
        <v/>
      </c>
    </row>
    <row r="93" spans="1:89">
      <c r="AV93" s="42" t="str">
        <f t="shared" si="86"/>
        <v/>
      </c>
    </row>
    <row r="94" spans="1:89">
      <c r="AV94" s="42" t="str">
        <f t="shared" si="86"/>
        <v/>
      </c>
    </row>
    <row r="95" spans="1:89">
      <c r="AV95" s="42" t="str">
        <f t="shared" si="86"/>
        <v/>
      </c>
    </row>
    <row r="96" spans="1:89">
      <c r="AV96" s="42" t="str">
        <f t="shared" si="86"/>
        <v/>
      </c>
    </row>
    <row r="97" spans="48:48">
      <c r="AV97" s="42" t="str">
        <f t="shared" si="86"/>
        <v/>
      </c>
    </row>
  </sheetData>
  <autoFilter ref="B1:AR59" xr:uid="{203360BB-2C91-4848-BCD1-7E5B038B6759}">
    <sortState xmlns:xlrd2="http://schemas.microsoft.com/office/spreadsheetml/2017/richdata2" ref="B2:AR97">
      <sortCondition ref="D1:D59"/>
    </sortState>
  </autoFilter>
  <sortState xmlns:xlrd2="http://schemas.microsoft.com/office/spreadsheetml/2017/richdata2" ref="A1:BA97">
    <sortCondition ref="B1:B97"/>
    <sortCondition ref="D1:D97"/>
  </sortState>
  <phoneticPr fontId="8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08FCB-ED92-4C02-AE5B-DE3AF212D6A3}">
  <sheetPr codeName="Sheet3"/>
  <dimension ref="A1:T8"/>
  <sheetViews>
    <sheetView workbookViewId="0">
      <selection activeCell="Q2" sqref="Q2"/>
    </sheetView>
  </sheetViews>
  <sheetFormatPr baseColWidth="10" defaultColWidth="8.83203125" defaultRowHeight="15"/>
  <cols>
    <col min="1" max="1" width="13.5" bestFit="1" customWidth="1"/>
    <col min="2" max="2" width="8.33203125" bestFit="1" customWidth="1"/>
    <col min="3" max="3" width="32" bestFit="1" customWidth="1"/>
    <col min="4" max="4" width="9" bestFit="1" customWidth="1"/>
    <col min="5" max="5" width="11.6640625" style="32" bestFit="1" customWidth="1"/>
    <col min="6" max="6" width="11.6640625" bestFit="1" customWidth="1"/>
    <col min="7" max="7" width="9.33203125" bestFit="1" customWidth="1"/>
    <col min="8" max="15" width="5" bestFit="1" customWidth="1"/>
    <col min="16" max="16" width="14.1640625" bestFit="1" customWidth="1"/>
    <col min="17" max="17" width="14.33203125" style="1" bestFit="1" customWidth="1"/>
    <col min="18" max="18" width="9.1640625" style="1" bestFit="1" customWidth="1"/>
    <col min="19" max="19" width="12" style="1" bestFit="1" customWidth="1"/>
    <col min="20" max="20" width="64.5" style="30" customWidth="1"/>
    <col min="22" max="22" width="27.5" customWidth="1"/>
  </cols>
  <sheetData>
    <row r="1" spans="1:20" s="27" customFormat="1" ht="16">
      <c r="A1" s="27" t="s">
        <v>670</v>
      </c>
      <c r="B1" s="27" t="s">
        <v>671</v>
      </c>
      <c r="C1" s="27" t="s">
        <v>397</v>
      </c>
      <c r="D1" s="27" t="s">
        <v>672</v>
      </c>
      <c r="E1" s="31" t="s">
        <v>673</v>
      </c>
      <c r="F1" s="27" t="s">
        <v>674</v>
      </c>
      <c r="G1" s="27" t="s">
        <v>675</v>
      </c>
      <c r="H1" s="27" t="s">
        <v>676</v>
      </c>
      <c r="I1" s="27" t="s">
        <v>677</v>
      </c>
      <c r="J1" s="27" t="s">
        <v>678</v>
      </c>
      <c r="K1" s="27" t="s">
        <v>679</v>
      </c>
      <c r="L1" s="27" t="s">
        <v>680</v>
      </c>
      <c r="M1" s="27" t="s">
        <v>681</v>
      </c>
      <c r="N1" s="27" t="s">
        <v>682</v>
      </c>
      <c r="O1" s="27" t="s">
        <v>683</v>
      </c>
      <c r="Q1" s="28" t="s">
        <v>684</v>
      </c>
      <c r="R1" s="28" t="s">
        <v>685</v>
      </c>
      <c r="S1" s="28"/>
      <c r="T1" s="29" t="s">
        <v>686</v>
      </c>
    </row>
    <row r="2" spans="1:20" ht="16">
      <c r="A2" t="s">
        <v>423</v>
      </c>
      <c r="B2" t="s">
        <v>687</v>
      </c>
      <c r="C2" t="s">
        <v>439</v>
      </c>
      <c r="D2" t="s">
        <v>688</v>
      </c>
      <c r="E2" s="32" t="s">
        <v>689</v>
      </c>
      <c r="F2" t="s">
        <v>690</v>
      </c>
      <c r="G2">
        <v>1</v>
      </c>
      <c r="I2">
        <v>103</v>
      </c>
      <c r="K2">
        <v>33</v>
      </c>
      <c r="Q2" s="1">
        <v>1048000000000</v>
      </c>
      <c r="R2" s="1">
        <v>9903534722.5119572</v>
      </c>
      <c r="T2" s="30" t="s">
        <v>691</v>
      </c>
    </row>
    <row r="3" spans="1:20">
      <c r="A3" t="s">
        <v>423</v>
      </c>
      <c r="B3" t="s">
        <v>687</v>
      </c>
      <c r="C3" t="s">
        <v>439</v>
      </c>
      <c r="D3" t="s">
        <v>688</v>
      </c>
      <c r="E3" s="32" t="s">
        <v>689</v>
      </c>
      <c r="F3" t="s">
        <v>690</v>
      </c>
      <c r="G3">
        <v>2</v>
      </c>
      <c r="I3">
        <v>140</v>
      </c>
      <c r="K3">
        <v>40</v>
      </c>
    </row>
    <row r="4" spans="1:20">
      <c r="A4" t="s">
        <v>423</v>
      </c>
      <c r="B4" t="s">
        <v>687</v>
      </c>
      <c r="C4" t="s">
        <v>439</v>
      </c>
      <c r="D4" t="s">
        <v>688</v>
      </c>
      <c r="E4" s="32" t="s">
        <v>689</v>
      </c>
      <c r="F4" t="s">
        <v>690</v>
      </c>
      <c r="G4">
        <v>3</v>
      </c>
      <c r="I4">
        <v>150</v>
      </c>
      <c r="K4">
        <v>15</v>
      </c>
    </row>
    <row r="5" spans="1:20" ht="16">
      <c r="A5" t="s">
        <v>692</v>
      </c>
      <c r="G5">
        <v>1</v>
      </c>
      <c r="I5">
        <v>203</v>
      </c>
      <c r="T5" s="30" t="s">
        <v>693</v>
      </c>
    </row>
    <row r="6" spans="1:20">
      <c r="A6" t="s">
        <v>692</v>
      </c>
    </row>
    <row r="7" spans="1:20">
      <c r="A7" t="s">
        <v>692</v>
      </c>
    </row>
    <row r="8" spans="1:20">
      <c r="A8" t="s">
        <v>692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D6CFE-612E-46E0-A922-EC94F81896C5}">
  <sheetPr codeName="Sheet4"/>
  <dimension ref="A1:C13"/>
  <sheetViews>
    <sheetView workbookViewId="0">
      <selection activeCell="B14" sqref="B14"/>
    </sheetView>
  </sheetViews>
  <sheetFormatPr baseColWidth="10" defaultColWidth="8.83203125" defaultRowHeight="15"/>
  <sheetData>
    <row r="1" spans="1:3">
      <c r="A1" t="s">
        <v>694</v>
      </c>
      <c r="B1" t="s">
        <v>695</v>
      </c>
      <c r="C1" t="s">
        <v>696</v>
      </c>
    </row>
    <row r="2" spans="1:3">
      <c r="A2" t="s">
        <v>687</v>
      </c>
      <c r="B2" t="s">
        <v>635</v>
      </c>
      <c r="C2" t="s">
        <v>697</v>
      </c>
    </row>
    <row r="3" spans="1:3">
      <c r="B3" t="s">
        <v>636</v>
      </c>
      <c r="C3" t="s">
        <v>698</v>
      </c>
    </row>
    <row r="4" spans="1:3">
      <c r="B4" t="s">
        <v>637</v>
      </c>
    </row>
    <row r="5" spans="1:3">
      <c r="B5" t="s">
        <v>638</v>
      </c>
    </row>
    <row r="6" spans="1:3">
      <c r="B6" t="s">
        <v>639</v>
      </c>
    </row>
    <row r="7" spans="1:3">
      <c r="B7" t="s">
        <v>640</v>
      </c>
    </row>
    <row r="8" spans="1:3">
      <c r="B8" t="s">
        <v>641</v>
      </c>
    </row>
    <row r="9" spans="1:3">
      <c r="B9" t="s">
        <v>642</v>
      </c>
    </row>
    <row r="10" spans="1:3">
      <c r="B10" t="s">
        <v>699</v>
      </c>
    </row>
    <row r="11" spans="1:3">
      <c r="B11" t="s">
        <v>700</v>
      </c>
    </row>
    <row r="12" spans="1:3">
      <c r="B12" t="s">
        <v>701</v>
      </c>
    </row>
    <row r="13" spans="1:3">
      <c r="B13" t="s">
        <v>702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489BCEDE085B44BBBE9BC3734AFADE" ma:contentTypeVersion="19" ma:contentTypeDescription="Create a new document." ma:contentTypeScope="" ma:versionID="bbcd09e69c198381eb68f6cc2c2ca6aa">
  <xsd:schema xmlns:xsd="http://www.w3.org/2001/XMLSchema" xmlns:xs="http://www.w3.org/2001/XMLSchema" xmlns:p="http://schemas.microsoft.com/office/2006/metadata/properties" xmlns:ns2="f958beaa-7422-467c-a750-f9fd988104ff" xmlns:ns3="e4bfeef5-e2d0-43a0-bd9a-27da104197ff" targetNamespace="http://schemas.microsoft.com/office/2006/metadata/properties" ma:root="true" ma:fieldsID="62ad4c9e4c503816f9a42f612752dda9" ns2:_="" ns3:_="">
    <xsd:import namespace="f958beaa-7422-467c-a750-f9fd988104ff"/>
    <xsd:import namespace="e4bfeef5-e2d0-43a0-bd9a-27da104197ff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3:STslides5_x002f_910_x002f_2022" minOccurs="0"/>
                <xsd:element ref="ns3:Notes" minOccurs="0"/>
                <xsd:element ref="ns3:lcf76f155ced4ddcb4097134ff3c332f" minOccurs="0"/>
                <xsd:element ref="ns3:createdby" minOccurs="0"/>
                <xsd:element ref="ns3: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58beaa-7422-467c-a750-f9fd988104ff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3f367898-c1af-494b-8cc2-a0880bb0296c}" ma:internalName="TaxCatchAll" ma:showField="CatchAllData" ma:web="0a57408e-50cc-4a1a-9d15-7cc4017506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bfeef5-e2d0-43a0-bd9a-27da104197ff" elementFormDefault="qualified">
    <xsd:import namespace="http://schemas.microsoft.com/office/2006/documentManagement/types"/>
    <xsd:import namespace="http://schemas.microsoft.com/office/infopath/2007/PartnerControls"/>
    <xsd:element name="STslides5_x002f_910_x002f_2022" ma:index="9" nillable="true" ma:displayName="ST slides 5/9&amp;10/2022" ma:description="Test" ma:format="Hyperlink" ma:internalName="STslides5_x002f_910_x002f_2022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Notes" ma:index="10" nillable="true" ma:displayName="Presentation description" ma:description="short description of slide contents" ma:format="Dropdown" ma:internalName="Notes">
      <xsd:simpleType>
        <xsd:restriction base="dms:Note">
          <xsd:maxLength value="255"/>
        </xsd:restriction>
      </xsd:simpleType>
    </xsd:element>
    <xsd:element name="lcf76f155ced4ddcb4097134ff3c332f" ma:index="11" nillable="true" ma:displayName="Image Tags_0" ma:hidden="true" ma:internalName="lcf76f155ced4ddcb4097134ff3c332f">
      <xsd:simpleType>
        <xsd:restriction base="dms:Note"/>
      </xsd:simpleType>
    </xsd:element>
    <xsd:element name="createdby" ma:index="12" nillable="true" ma:displayName="created by" ma:description="who put this presentation together" ma:format="Dropdown" ma:list="UserInfo" ma:SharePointGroup="0" ma:internalName="createdby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ate" ma:index="13" nillable="true" ma:displayName="meeting date" ma:format="DateOnly" ma:internalName="dat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0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4bfeef5-e2d0-43a0-bd9a-27da104197ff" xsi:nil="true"/>
    <TaxCatchAll xmlns="f958beaa-7422-467c-a750-f9fd988104ff">
      <Value>1</Value>
      <Value>3</Value>
    </TaxCatchAll>
    <createdby xmlns="e4bfeef5-e2d0-43a0-bd9a-27da104197ff">
      <UserInfo>
        <DisplayName/>
        <AccountId xsi:nil="true"/>
        <AccountType/>
      </UserInfo>
    </createdby>
    <Notes xmlns="e4bfeef5-e2d0-43a0-bd9a-27da104197ff" xsi:nil="true"/>
    <STslides5_x002f_910_x002f_2022 xmlns="e4bfeef5-e2d0-43a0-bd9a-27da104197ff">
      <Url xsi:nil="true"/>
      <Description xsi:nil="true"/>
    </STslides5_x002f_910_x002f_2022>
    <date xmlns="e4bfeef5-e2d0-43a0-bd9a-27da104197f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27392C-DED1-4009-8462-9DAF686E86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58beaa-7422-467c-a750-f9fd988104ff"/>
    <ds:schemaRef ds:uri="e4bfeef5-e2d0-43a0-bd9a-27da104197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B2CCAD9-6EB3-4400-A180-BFDC1367BD00}">
  <ds:schemaRefs>
    <ds:schemaRef ds:uri="f958beaa-7422-467c-a750-f9fd988104f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terms/"/>
    <ds:schemaRef ds:uri="e4bfeef5-e2d0-43a0-bd9a-27da104197ff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D3B1721-24B0-4CED-9913-F96AA4F3611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DataEntry</vt:lpstr>
      <vt:lpstr>Sheet1</vt:lpstr>
      <vt:lpstr>WP4 FD Sample info</vt:lpstr>
      <vt:lpstr>WP4 In-pack Data</vt:lpstr>
      <vt:lpstr>WP4 On-Seed</vt:lpstr>
      <vt:lpstr>RawCounts</vt:lpstr>
      <vt:lpstr>Hidden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Anyi Wang</dc:creator>
  <cp:keywords/>
  <dc:description/>
  <cp:lastModifiedBy>Microsoft Office User</cp:lastModifiedBy>
  <cp:revision/>
  <dcterms:created xsi:type="dcterms:W3CDTF">2023-01-06T17:53:47Z</dcterms:created>
  <dcterms:modified xsi:type="dcterms:W3CDTF">2023-06-17T06:24:46Z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0x01010063489BCEDE085B44BBBE9BC3734AFADE</vt:lpwstr>
  </property>
  <property fmtid="{D5CDD505-2E9C-101B-9397-08002B2CF9AE}" pid="4" name="RCSExpiration">
    <vt:lpwstr>3;#3|f007ab5b-9d57-43cc-8679-26ce9eeabccd</vt:lpwstr>
  </property>
  <property fmtid="{D5CDD505-2E9C-101B-9397-08002B2CF9AE}" pid="5" name="DISO">
    <vt:lpwstr>1;#Internal Use Only|e25b6e48-bffb-4ac6-8a1b-eeef4c649ccd</vt:lpwstr>
  </property>
  <property fmtid="{D5CDD505-2E9C-101B-9397-08002B2CF9AE}" pid="6" name="MSIP_Label_9207e21b-00ca-4086-9373-b188af174903_Enabled">
    <vt:lpwstr>true</vt:lpwstr>
  </property>
  <property fmtid="{D5CDD505-2E9C-101B-9397-08002B2CF9AE}" pid="7" name="MSIP_Label_9207e21b-00ca-4086-9373-b188af174903_SetDate">
    <vt:lpwstr>2023-01-06T19:35:31Z</vt:lpwstr>
  </property>
  <property fmtid="{D5CDD505-2E9C-101B-9397-08002B2CF9AE}" pid="8" name="MSIP_Label_9207e21b-00ca-4086-9373-b188af174903_Method">
    <vt:lpwstr>Privileged</vt:lpwstr>
  </property>
  <property fmtid="{D5CDD505-2E9C-101B-9397-08002B2CF9AE}" pid="9" name="MSIP_Label_9207e21b-00ca-4086-9373-b188af174903_Name">
    <vt:lpwstr>Ed's classification</vt:lpwstr>
  </property>
  <property fmtid="{D5CDD505-2E9C-101B-9397-08002B2CF9AE}" pid="10" name="MSIP_Label_9207e21b-00ca-4086-9373-b188af174903_SiteId">
    <vt:lpwstr>a2a9bf31-fc44-425c-a6d2-3ae9379573ea</vt:lpwstr>
  </property>
  <property fmtid="{D5CDD505-2E9C-101B-9397-08002B2CF9AE}" pid="11" name="MSIP_Label_9207e21b-00ca-4086-9373-b188af174903_ActionId">
    <vt:lpwstr>efc0ea34-40d9-45df-84e7-6fe1cfcf240a</vt:lpwstr>
  </property>
  <property fmtid="{D5CDD505-2E9C-101B-9397-08002B2CF9AE}" pid="12" name="MSIP_Label_9207e21b-00ca-4086-9373-b188af174903_ContentBits">
    <vt:lpwstr>3</vt:lpwstr>
  </property>
  <property fmtid="{D5CDD505-2E9C-101B-9397-08002B2CF9AE}" pid="13" name="c5ddba9d9fff4eef9dbb6846e08177f0">
    <vt:lpwstr>Internal Use Only|e25b6e48-bffb-4ac6-8a1b-eeef4c649ccd</vt:lpwstr>
  </property>
  <property fmtid="{D5CDD505-2E9C-101B-9397-08002B2CF9AE}" pid="14" name="d12837e9aeab4f91a93cdd9aefab344b">
    <vt:lpwstr>3|f007ab5b-9d57-43cc-8679-26ce9eeabccd</vt:lpwstr>
  </property>
  <property fmtid="{D5CDD505-2E9C-101B-9397-08002B2CF9AE}" pid="15" name="SharedWithUsers">
    <vt:lpwstr>29;#Cliff Lay</vt:lpwstr>
  </property>
</Properties>
</file>